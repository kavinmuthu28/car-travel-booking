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Bug Tracker" sheetId="2" state="visible" r:id="rId2"/>
    <sheet xmlns:r="http://schemas.openxmlformats.org/officeDocument/2006/relationships" name="Manual Test Cases" sheetId="3" state="visible" r:id="rId3"/>
    <sheet xmlns:r="http://schemas.openxmlformats.org/officeDocument/2006/relationships" name="Automated Test Results" sheetId="4" state="visible" r:id="rId4"/>
    <sheet xmlns:r="http://schemas.openxmlformats.org/officeDocument/2006/relationships" name="Security Audit" sheetId="5" state="visible" r:id="rId5"/>
  </sheets>
  <definedNames>
    <definedName name="_xlnm._FilterDatabase" localSheetId="1" hidden="1">'Bug Tracker'!$A$1:$T$16</definedName>
    <definedName name="_xlnm._FilterDatabase" localSheetId="2" hidden="1">'Manual Test Cases'!$A$1:$L$31</definedName>
    <definedName name="_xlnm._FilterDatabase" localSheetId="3" hidden="1">'Automated Test Results'!$A$1:$K$26</definedName>
    <definedName name="_xlnm._FilterDatabase" localSheetId="4" hidden="1">'Security Audit'!$A$1:$K$12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0006"/>
      <sz val="10"/>
    </font>
    <font>
      <name val="Segoe UI"/>
      <b val="1"/>
      <color rgb="00155724"/>
      <sz val="10"/>
    </font>
    <font>
      <name val="Segoe UI"/>
      <b val="1"/>
      <color rgb="00B25900"/>
      <sz val="10"/>
    </font>
    <font>
      <name val="Segoe UI"/>
      <b val="1"/>
      <color rgb="009C6500"/>
      <sz val="10"/>
    </font>
    <font>
      <name val="Segoe UI"/>
      <b val="1"/>
      <color rgb="000288D1"/>
      <sz val="10"/>
    </font>
    <font>
      <name val="Segoe UI"/>
      <b val="1"/>
      <color rgb="001F4E78"/>
      <sz val="16"/>
    </font>
    <font>
      <name val="Segoe UI"/>
      <i val="1"/>
      <color rgb="00555555"/>
      <sz val="10"/>
    </font>
    <font>
      <name val="Segoe UI"/>
      <b val="1"/>
      <color rgb="001F4E78"/>
      <sz val="12"/>
    </font>
    <font>
      <name val="Segoe UI"/>
      <b val="1"/>
      <sz val="10"/>
    </font>
    <font>
      <name val="Segoe UI"/>
      <b val="1"/>
      <color rgb="00155724"/>
      <sz val="14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D2D2"/>
        <bgColor rgb="00FFD2D2"/>
      </patternFill>
    </fill>
    <fill>
      <patternFill patternType="solid">
        <fgColor rgb="00D4EDDA"/>
        <bgColor rgb="00D4EDDA"/>
      </patternFill>
    </fill>
    <fill>
      <patternFill patternType="solid">
        <fgColor rgb="00FFE0B2"/>
        <bgColor rgb="00FFE0B2"/>
      </patternFill>
    </fill>
    <fill>
      <patternFill patternType="solid">
        <fgColor rgb="00FFF3C4"/>
        <bgColor rgb="00FFF3C4"/>
      </patternFill>
    </fill>
    <fill>
      <patternFill patternType="solid">
        <fgColor rgb="00E1F5FE"/>
        <bgColor rgb="00E1F5F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2" fillId="0" borderId="1" pivotButton="0" quotePrefix="0" xfId="0"/>
    <xf numFmtId="0" fontId="11" fillId="0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12" fillId="4" borderId="0" pivotButton="0" quotePrefix="0" xfId="0"/>
    <xf numFmtId="0" fontId="8" fillId="0" borderId="0" pivotButton="0" quotePrefix="0" xfId="0"/>
    <xf numFmtId="0" fontId="11" fillId="0" borderId="1" pivotButton="0" quotePrefix="0" xfId="0"/>
    <xf numFmtId="0" fontId="1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Bug Severity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Dashboard'!C18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Dashboard'!$B$19:$B$22</f>
            </numRef>
          </cat>
          <val>
            <numRef>
              <f>'Summary Dashboard'!$C$19:$C$22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Bug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Dashboard'!F18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Dashboard'!$E$19:$E$21</f>
            </numRef>
          </cat>
          <val>
            <numRef>
              <f>'Summary Dashboard'!$F$19:$F$21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Execution Results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Dashboard'!I18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Dashboard'!$H$19:$H$20</f>
            </numRef>
          </cat>
          <val>
            <numRef>
              <f>'Summary Dashboard'!$I$19:$I$20</f>
            </numRef>
          </val>
        </ser>
        <ser>
          <idx val="1"/>
          <order val="1"/>
          <tx>
            <strRef>
              <f>'Summary Dashboard'!J18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Dashboard'!$H$19:$H$20</f>
            </numRef>
          </cat>
          <val>
            <numRef>
              <f>'Summary Dashboard'!$J$19:$J$20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Suite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24</row>
      <rowOff>0</rowOff>
    </from>
    <ext cx="50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4" customWidth="1" min="4" max="4"/>
    <col width="28" customWidth="1" min="5" max="5"/>
    <col width="14" customWidth="1" min="6" max="6"/>
    <col width="4" customWidth="1" min="7" max="7"/>
    <col width="24" customWidth="1" min="8" max="8"/>
    <col width="14" customWidth="1" min="9" max="9"/>
    <col width="14" customWidth="1" min="10" max="10"/>
  </cols>
  <sheetData>
    <row r="1"/>
    <row r="2">
      <c r="B2" s="1" t="inlineStr">
        <is>
          <t>KAVIN TRAVELS — Quality Assurance &amp; Security Audit Dashboard</t>
        </is>
      </c>
    </row>
    <row r="3">
      <c r="B3" s="2" t="inlineStr">
        <is>
          <t>Application Audit, Vulnerability Remediation, Test Execution &amp; Verification Summary | October 2026</t>
        </is>
      </c>
    </row>
    <row r="4"/>
    <row r="5">
      <c r="B5" s="3" t="inlineStr">
        <is>
          <t>Bug Metrics</t>
        </is>
      </c>
      <c r="C5" s="3" t="inlineStr">
        <is>
          <t>Count</t>
        </is>
      </c>
      <c r="E5" s="3" t="inlineStr">
        <is>
          <t>Testing Performance</t>
        </is>
      </c>
      <c r="F5" s="3" t="inlineStr">
        <is>
          <t>Count</t>
        </is>
      </c>
      <c r="H5" s="3" t="inlineStr">
        <is>
          <t>Audit Verdict</t>
        </is>
      </c>
    </row>
    <row r="6">
      <c r="B6" s="4" t="inlineStr">
        <is>
          <t>Total Bugs Found</t>
        </is>
      </c>
      <c r="C6" s="5">
        <f>COUNTA('Bug Tracker'!A2:A100)</f>
        <v/>
      </c>
      <c r="E6" s="4" t="inlineStr">
        <is>
          <t>Total Manual Test Cases</t>
        </is>
      </c>
      <c r="F6" s="5">
        <f>COUNTA('Manual Test Cases'!A2:A100)</f>
        <v/>
      </c>
      <c r="H6" s="2" t="inlineStr">
        <is>
          <t>APPLICATION STATUS</t>
        </is>
      </c>
    </row>
    <row r="7">
      <c r="B7" s="4" t="inlineStr">
        <is>
          <t>Critical Bugs</t>
        </is>
      </c>
      <c r="C7" s="5">
        <f>COUNTIF('Bug Tracker'!I2:I100, "Critical")</f>
        <v/>
      </c>
      <c r="E7" s="4" t="inlineStr">
        <is>
          <t>Manual Tests Passed</t>
        </is>
      </c>
      <c r="F7" s="6">
        <f>COUNTIF('Manual Test Cases'!I2:I100, "Pass")</f>
        <v/>
      </c>
      <c r="H7" s="7" t="inlineStr">
        <is>
          <t>PASS / STABILIZED</t>
        </is>
      </c>
    </row>
    <row r="8">
      <c r="B8" s="4" t="inlineStr">
        <is>
          <t>High-Severity Bugs</t>
        </is>
      </c>
      <c r="C8" s="5">
        <f>COUNTIF('Bug Tracker'!I2:I100, "High")</f>
        <v/>
      </c>
      <c r="E8" s="4" t="inlineStr">
        <is>
          <t>Manual Tests Failed</t>
        </is>
      </c>
      <c r="F8" s="5">
        <f>COUNTIF('Manual Test Cases'!I2:I100, "Fail")</f>
        <v/>
      </c>
    </row>
    <row r="9">
      <c r="B9" s="4" t="inlineStr">
        <is>
          <t>Medium-Severity Bugs</t>
        </is>
      </c>
      <c r="C9" s="5">
        <f>COUNTIF('Bug Tracker'!I2:I100, "Medium")</f>
        <v/>
      </c>
      <c r="E9" s="4" t="inlineStr">
        <is>
          <t>Manual Tests Not Executed</t>
        </is>
      </c>
      <c r="F9" s="5">
        <f>COUNTIF('Manual Test Cases'!I2:I100, "Not Executed")</f>
        <v/>
      </c>
      <c r="H9" s="2" t="inlineStr">
        <is>
          <t>OVERALL FIX RATE</t>
        </is>
      </c>
    </row>
    <row r="10">
      <c r="B10" s="4" t="inlineStr">
        <is>
          <t>Low-Severity Bugs</t>
        </is>
      </c>
      <c r="C10" s="5">
        <f>COUNTIF('Bug Tracker'!I2:I100, "Low")</f>
        <v/>
      </c>
      <c r="E10" s="4" t="inlineStr">
        <is>
          <t>Total Automated Tests</t>
        </is>
      </c>
      <c r="F10" s="5">
        <f>COUNTA('Automated Test Results'!A2:A100)</f>
        <v/>
      </c>
      <c r="H10" s="8" t="inlineStr">
        <is>
          <t>100.0%</t>
        </is>
      </c>
    </row>
    <row r="11">
      <c r="B11" s="9" t="inlineStr">
        <is>
          <t>Bugs Fixed &amp; Verified</t>
        </is>
      </c>
      <c r="C11" s="6">
        <f>COUNTIF('Bug Tracker'!P2:P100, "Fixed")</f>
        <v/>
      </c>
      <c r="E11" s="4" t="inlineStr">
        <is>
          <t>Automated Tests Passed</t>
        </is>
      </c>
      <c r="F11" s="6">
        <f>COUNTIF('Automated Test Results'!H2:H100, "Passed")</f>
        <v/>
      </c>
    </row>
    <row r="12">
      <c r="B12" s="4" t="inlineStr">
        <is>
          <t>Open Bugs</t>
        </is>
      </c>
      <c r="C12" s="5">
        <f>COUNTIF('Bug Tracker'!P2:P100, "Open")</f>
        <v/>
      </c>
      <c r="E12" s="4" t="inlineStr">
        <is>
          <t>Automated Tests Failed</t>
        </is>
      </c>
      <c r="F12" s="5">
        <f>COUNTIF('Automated Test Results'!H2:H100, "Failed")</f>
        <v/>
      </c>
      <c r="H12" s="2" t="inlineStr">
        <is>
          <t>AUTOMATED PASS RATE</t>
        </is>
      </c>
    </row>
    <row r="13">
      <c r="B13" s="4" t="inlineStr">
        <is>
          <t>Partially Fixed Bugs</t>
        </is>
      </c>
      <c r="C13" s="5">
        <f>COUNTIF('Bug Tracker'!P2:P100, "Partially Fixed")</f>
        <v/>
      </c>
      <c r="E13" s="4" t="inlineStr">
        <is>
          <t>Automated Tests Skipped</t>
        </is>
      </c>
      <c r="F13" s="5">
        <f>COUNTIF('Automated Test Results'!H2:H100, "Skipped")</f>
        <v/>
      </c>
      <c r="H13" s="10" t="inlineStr">
        <is>
          <t>100.0% (25/25)</t>
        </is>
      </c>
    </row>
    <row r="14">
      <c r="B14" s="4" t="inlineStr">
        <is>
          <t>Retest Required</t>
        </is>
      </c>
      <c r="C14" s="5">
        <f>COUNTIF('Bug Tracker'!P2:P100, "Retest Required")</f>
        <v/>
      </c>
      <c r="E14" s="4" t="inlineStr">
        <is>
          <t>Security Audit Findings</t>
        </is>
      </c>
      <c r="F14" s="5">
        <f>COUNTA('Security Audit'!A2:A100)</f>
        <v/>
      </c>
    </row>
    <row r="15">
      <c r="B15" s="4" t="inlineStr">
        <is>
          <t>Blocked Issues</t>
        </is>
      </c>
      <c r="C15" s="5">
        <f>COUNTIF('Bug Tracker'!P2:P100, "Blocked")</f>
        <v/>
      </c>
      <c r="E15" s="4" t="inlineStr">
        <is>
          <t>Security Remediations Verified</t>
        </is>
      </c>
      <c r="F15" s="6">
        <f>COUNTIF('Security Audit'!J2:J100, "Fixed")</f>
        <v/>
      </c>
    </row>
    <row r="16"/>
    <row r="17"/>
    <row r="18">
      <c r="B18" s="9" t="inlineStr">
        <is>
          <t>Severity</t>
        </is>
      </c>
      <c r="C18" s="9" t="inlineStr">
        <is>
          <t>Count</t>
        </is>
      </c>
      <c r="E18" s="9" t="inlineStr">
        <is>
          <t>Status</t>
        </is>
      </c>
      <c r="F18" s="9" t="inlineStr">
        <is>
          <t>Count</t>
        </is>
      </c>
      <c r="H18" s="9" t="inlineStr">
        <is>
          <t>Testing Category</t>
        </is>
      </c>
      <c r="I18" s="9" t="inlineStr">
        <is>
          <t>Passed</t>
        </is>
      </c>
      <c r="J18" s="9" t="inlineStr">
        <is>
          <t>Failed</t>
        </is>
      </c>
    </row>
    <row r="19">
      <c r="B19" s="4" t="inlineStr">
        <is>
          <t>Critical</t>
        </is>
      </c>
      <c r="C19" s="4">
        <f>COUNTIF('Bug Tracker'!I2:I100, "Critical")</f>
        <v/>
      </c>
      <c r="E19" s="4" t="inlineStr">
        <is>
          <t>Fixed</t>
        </is>
      </c>
      <c r="F19" s="4">
        <f>COUNTIF('Bug Tracker'!P2:P100, "Fixed")</f>
        <v/>
      </c>
      <c r="H19" s="4" t="inlineStr">
        <is>
          <t>Manual Tests</t>
        </is>
      </c>
      <c r="I19" s="4">
        <f>COUNTIF('Manual Test Cases'!I2:I100, "Pass")</f>
        <v/>
      </c>
      <c r="J19" s="4">
        <f>COUNTIF('Manual Test Cases'!I2:I100, "Fail")</f>
        <v/>
      </c>
    </row>
    <row r="20">
      <c r="B20" s="4" t="inlineStr">
        <is>
          <t>High</t>
        </is>
      </c>
      <c r="C20" s="4">
        <f>COUNTIF('Bug Tracker'!I2:I100, "High")</f>
        <v/>
      </c>
      <c r="E20" s="4" t="inlineStr">
        <is>
          <t>Open</t>
        </is>
      </c>
      <c r="F20" s="4">
        <f>COUNTIF('Bug Tracker'!P2:P100, "Open")</f>
        <v/>
      </c>
      <c r="H20" s="4" t="inlineStr">
        <is>
          <t>Automated Tests</t>
        </is>
      </c>
      <c r="I20" s="4">
        <f>COUNTIF('Automated Test Results'!H2:H100, "Passed")</f>
        <v/>
      </c>
      <c r="J20" s="4">
        <f>COUNTIF('Automated Test Results'!H2:H100, "Failed")</f>
        <v/>
      </c>
    </row>
    <row r="21">
      <c r="B21" s="4" t="inlineStr">
        <is>
          <t>Medium</t>
        </is>
      </c>
      <c r="C21" s="4">
        <f>COUNTIF('Bug Tracker'!I2:I100, "Medium")</f>
        <v/>
      </c>
      <c r="E21" s="4" t="inlineStr">
        <is>
          <t>Blocked</t>
        </is>
      </c>
      <c r="F21" s="4">
        <f>COUNTIF('Bug Tracker'!P2:P100, "Blocked")</f>
        <v/>
      </c>
    </row>
    <row r="22">
      <c r="B22" s="4" t="inlineStr">
        <is>
          <t>Low</t>
        </is>
      </c>
      <c r="C22" s="4">
        <f>COUNTIF('Bug Tracker'!I2:I100, "Low")</f>
        <v/>
      </c>
      <c r="E22" s="4" t="n"/>
      <c r="F22" s="4" t="n"/>
    </row>
  </sheetData>
  <mergeCells count="2">
    <mergeCell ref="B3:J3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12" customWidth="1" min="9" max="9"/>
    <col width="12" customWidth="1" min="10" max="10"/>
    <col width="45" customWidth="1" min="11" max="11"/>
    <col width="45" customWidth="1" min="12" max="12"/>
    <col width="45" customWidth="1" min="13" max="13"/>
    <col width="15" customWidth="1" min="14" max="14"/>
    <col width="45" customWidth="1" min="15" max="15"/>
    <col width="13" customWidth="1" min="16" max="16"/>
    <col width="16" customWidth="1" min="17" max="17"/>
    <col width="13" customWidth="1" min="18" max="18"/>
    <col width="19" customWidth="1" min="19" max="19"/>
    <col width="45" customWidth="1" min="20" max="20"/>
  </cols>
  <sheetData>
    <row r="1">
      <c r="A1" s="11" t="inlineStr">
        <is>
          <t>Bug ID</t>
        </is>
      </c>
      <c r="B1" s="11" t="inlineStr">
        <is>
          <t>Date Found</t>
        </is>
      </c>
      <c r="C1" s="11" t="inlineStr">
        <is>
          <t>Module</t>
        </is>
      </c>
      <c r="D1" s="11" t="inlineStr">
        <is>
          <t>Bug Title</t>
        </is>
      </c>
      <c r="E1" s="11" t="inlineStr">
        <is>
          <t>Bug Description</t>
        </is>
      </c>
      <c r="F1" s="11" t="inlineStr">
        <is>
          <t>Reproduction Steps</t>
        </is>
      </c>
      <c r="G1" s="11" t="inlineStr">
        <is>
          <t>Expected Result</t>
        </is>
      </c>
      <c r="H1" s="11" t="inlineStr">
        <is>
          <t>Actual Result</t>
        </is>
      </c>
      <c r="I1" s="11" t="inlineStr">
        <is>
          <t>Severity</t>
        </is>
      </c>
      <c r="J1" s="11" t="inlineStr">
        <is>
          <t>Priority</t>
        </is>
      </c>
      <c r="K1" s="11" t="inlineStr">
        <is>
          <t>Root Cause</t>
        </is>
      </c>
      <c r="L1" s="11" t="inlineStr">
        <is>
          <t>Fix Applied</t>
        </is>
      </c>
      <c r="M1" s="11" t="inlineStr">
        <is>
          <t>Files Changed</t>
        </is>
      </c>
      <c r="N1" s="11" t="inlineStr">
        <is>
          <t>Test Case ID</t>
        </is>
      </c>
      <c r="O1" s="11" t="inlineStr">
        <is>
          <t>Test Evidence</t>
        </is>
      </c>
      <c r="P1" s="11" t="inlineStr">
        <is>
          <t>Fix Status</t>
        </is>
      </c>
      <c r="Q1" s="11" t="inlineStr">
        <is>
          <t>Retest Result</t>
        </is>
      </c>
      <c r="R1" s="11" t="inlineStr">
        <is>
          <t>Date Fixed</t>
        </is>
      </c>
      <c r="S1" s="11" t="inlineStr">
        <is>
          <t>Verified By</t>
        </is>
      </c>
      <c r="T1" s="11" t="inlineStr">
        <is>
          <t>Remarks</t>
        </is>
      </c>
    </row>
    <row r="2">
      <c r="A2" s="4" t="inlineStr">
        <is>
          <t>BUG-001</t>
        </is>
      </c>
      <c r="B2" s="4" t="inlineStr">
        <is>
          <t>2026-10-03</t>
        </is>
      </c>
      <c r="C2" s="4" t="inlineStr">
        <is>
          <t>Backend Config</t>
        </is>
      </c>
      <c r="D2" s="4" t="inlineStr">
        <is>
          <t>Plaintext root database password in application.properties</t>
        </is>
      </c>
      <c r="E2" s="4" t="inlineStr">
        <is>
          <t>Root MySQL password (nivak@0328) was committed in application.properties source code.</t>
        </is>
      </c>
      <c r="F2" s="4" t="inlineStr">
        <is>
          <t>Open backend/src/main/resources/application.properties and inspect line 15.</t>
        </is>
      </c>
      <c r="G2" s="4" t="inlineStr">
        <is>
          <t>Database passwords must be externalized via environment variables.</t>
        </is>
      </c>
      <c r="H2" s="4" t="inlineStr">
        <is>
          <t>Root password was committed directly in plaintext to version control.</t>
        </is>
      </c>
      <c r="I2" s="12" t="inlineStr">
        <is>
          <t>Critical</t>
        </is>
      </c>
      <c r="J2" s="13" t="inlineStr">
        <is>
          <t>P0</t>
        </is>
      </c>
      <c r="K2" s="4" t="inlineStr">
        <is>
          <t>Hardcoded fallback in properties file.</t>
        </is>
      </c>
      <c r="L2" s="4" t="inlineStr">
        <is>
          <t>Replaced password default with ${DB_PASSWORD} without sensitive fallback; created sanitized application-example.properties.</t>
        </is>
      </c>
      <c r="M2" s="4" t="inlineStr">
        <is>
          <t>application.properties, application-example.properties</t>
        </is>
      </c>
      <c r="N2" s="4" t="inlineStr">
        <is>
          <t>TC-MAN-001</t>
        </is>
      </c>
      <c r="O2" s="4" t="inlineStr">
        <is>
          <t>Properties inspected, verified parameterized</t>
        </is>
      </c>
      <c r="P2" s="14" t="inlineStr">
        <is>
          <t>Fixed</t>
        </is>
      </c>
      <c r="Q2" s="14" t="inlineStr">
        <is>
          <t>Pass</t>
        </is>
      </c>
      <c r="R2" s="4" t="inlineStr">
        <is>
          <t>2026-10-03</t>
        </is>
      </c>
      <c r="S2" s="4" t="inlineStr">
        <is>
          <t>Security Auditor</t>
        </is>
      </c>
      <c r="T2" s="4" t="inlineStr">
        <is>
          <t>Eliminated high-risk credential leak.</t>
        </is>
      </c>
    </row>
    <row r="3">
      <c r="A3" s="4" t="inlineStr">
        <is>
          <t>BUG-002</t>
        </is>
      </c>
      <c r="B3" s="4" t="inlineStr">
        <is>
          <t>2026-10-03</t>
        </is>
      </c>
      <c r="C3" s="4" t="inlineStr">
        <is>
          <t>Booking API</t>
        </is>
      </c>
      <c r="D3" s="4" t="inlineStr">
        <is>
          <t>IDOR vulnerability on /api/bookings/user/{userId}</t>
        </is>
      </c>
      <c r="E3" s="4" t="inlineStr">
        <is>
          <t>Any authenticated customer could query another customer's complete trip history by providing their numeric userId in the URL.</t>
        </is>
      </c>
      <c r="F3" s="4" t="inlineStr">
        <is>
          <t>Log in as Customer A. Send GET /api/bookings/user/2 with Customer A's JWT token.</t>
        </is>
      </c>
      <c r="G3" s="4" t="inlineStr">
        <is>
          <t>Access denied (403 Forbidden) when requesting other users' trip history.</t>
        </is>
      </c>
      <c r="H3" s="4" t="inlineStr">
        <is>
          <t>Server returned Customer B's complete bookings with status 200 OK.</t>
        </is>
      </c>
      <c r="I3" s="15" t="inlineStr">
        <is>
          <t>High</t>
        </is>
      </c>
      <c r="J3" s="13" t="inlineStr">
        <is>
          <t>P1</t>
        </is>
      </c>
      <c r="K3" s="4" t="inlineStr">
        <is>
          <t>Controller and service lacked caller identity verification.</t>
        </is>
      </c>
      <c r="L3" s="4" t="inlineStr">
        <is>
          <t>Restricted /api/bookings/user/{userId} to ADMIN and implemented /api/bookings/my self-service endpoint using SecurityContext email.</t>
        </is>
      </c>
      <c r="M3" s="4" t="inlineStr">
        <is>
          <t>BookingController.java, BookingService.java, my-bookings.js</t>
        </is>
      </c>
      <c r="N3" s="4" t="inlineStr">
        <is>
          <t>TC-MAN-020</t>
        </is>
      </c>
      <c r="O3" s="4" t="inlineStr">
        <is>
          <t>Unit test &amp; my-bookings.js verified</t>
        </is>
      </c>
      <c r="P3" s="14" t="inlineStr">
        <is>
          <t>Fixed</t>
        </is>
      </c>
      <c r="Q3" s="14" t="inlineStr">
        <is>
          <t>Pass</t>
        </is>
      </c>
      <c r="R3" s="4" t="inlineStr">
        <is>
          <t>2026-10-03</t>
        </is>
      </c>
      <c r="S3" s="4" t="inlineStr">
        <is>
          <t>Security Auditor</t>
        </is>
      </c>
      <c r="T3" s="4" t="inlineStr">
        <is>
          <t>IDOR fully closed; customer UI updated to use /my.</t>
        </is>
      </c>
    </row>
    <row r="4">
      <c r="A4" s="4" t="inlineStr">
        <is>
          <t>BUG-003</t>
        </is>
      </c>
      <c r="B4" s="4" t="inlineStr">
        <is>
          <t>2026-10-03</t>
        </is>
      </c>
      <c r="C4" s="4" t="inlineStr">
        <is>
          <t>Booking API</t>
        </is>
      </c>
      <c r="D4" s="4" t="inlineStr">
        <is>
          <t>IDOR vulnerability on GET /api/bookings/{id}</t>
        </is>
      </c>
      <c r="E4" s="4" t="inlineStr">
        <is>
          <t>Any authenticated customer could view any booking itinerary in the database by guessing or enumerating IDs.</t>
        </is>
      </c>
      <c r="F4" s="4" t="inlineStr">
        <is>
          <t>Log in as Customer B. Send GET /api/bookings/1 (Customer A's booking).</t>
        </is>
      </c>
      <c r="G4" s="4" t="inlineStr">
        <is>
          <t>Access denied (403 Forbidden) when booking does not belong to caller.</t>
        </is>
      </c>
      <c r="H4" s="4" t="inlineStr">
        <is>
          <t>Server returned full booking details including customer contact information.</t>
        </is>
      </c>
      <c r="I4" s="15" t="inlineStr">
        <is>
          <t>High</t>
        </is>
      </c>
      <c r="J4" s="13" t="inlineStr">
        <is>
          <t>P1</t>
        </is>
      </c>
      <c r="K4" s="4" t="inlineStr">
        <is>
          <t>Service retrieved entity by ID without checking if caller owns it.</t>
        </is>
      </c>
      <c r="L4" s="4" t="inlineStr">
        <is>
          <t>Added ownership verification in BookingService.getBookingById: checks caller ID or ROLE_ADMIN before returning DTO.</t>
        </is>
      </c>
      <c r="M4" s="4" t="inlineStr">
        <is>
          <t>BookingController.java, BookingService.java</t>
        </is>
      </c>
      <c r="N4" s="4" t="inlineStr">
        <is>
          <t>TC-MAN-017</t>
        </is>
      </c>
      <c r="O4" s="4" t="inlineStr">
        <is>
          <t>BookingServiceTest.testGetBookingById_WrongUser_ThrowsUnauthorized passed</t>
        </is>
      </c>
      <c r="P4" s="14" t="inlineStr">
        <is>
          <t>Fixed</t>
        </is>
      </c>
      <c r="Q4" s="14" t="inlineStr">
        <is>
          <t>Pass</t>
        </is>
      </c>
      <c r="R4" s="4" t="inlineStr">
        <is>
          <t>2026-10-03</t>
        </is>
      </c>
      <c r="S4" s="4" t="inlineStr">
        <is>
          <t>Security Auditor</t>
        </is>
      </c>
      <c r="T4" s="4" t="inlineStr">
        <is>
          <t>Verified via automated security test.</t>
        </is>
      </c>
    </row>
    <row r="5">
      <c r="A5" s="4" t="inlineStr">
        <is>
          <t>BUG-004</t>
        </is>
      </c>
      <c r="B5" s="4" t="inlineStr">
        <is>
          <t>2026-10-03</t>
        </is>
      </c>
      <c r="C5" s="4" t="inlineStr">
        <is>
          <t>Booking API</t>
        </is>
      </c>
      <c r="D5" s="4" t="inlineStr">
        <is>
          <t>Global booking repository exposed to all customers</t>
        </is>
      </c>
      <c r="E5" s="4" t="inlineStr">
        <is>
          <t>GET /api/bookings was accessible to any authenticated customer, exposing all global system bookings.</t>
        </is>
      </c>
      <c r="F5" s="4" t="inlineStr">
        <is>
          <t>Log in as regular customer. Send GET /api/bookings.</t>
        </is>
      </c>
      <c r="G5" s="4" t="inlineStr">
        <is>
          <t>Only administrators should be able to view all bookings globally.</t>
        </is>
      </c>
      <c r="H5" s="4" t="inlineStr">
        <is>
          <t>All system bookings returned to regular customer.</t>
        </is>
      </c>
      <c r="I5" s="15" t="inlineStr">
        <is>
          <t>High</t>
        </is>
      </c>
      <c r="J5" s="13" t="inlineStr">
        <is>
          <t>P1</t>
        </is>
      </c>
      <c r="K5" s="4" t="inlineStr">
        <is>
          <t>Missing @PreAuthorize annotation on controller endpoint.</t>
        </is>
      </c>
      <c r="L5" s="4" t="inlineStr">
        <is>
          <t>Added @PreAuthorize('hasRole("ADMIN")') on BookingController.getAllBookings().</t>
        </is>
      </c>
      <c r="M5" s="4" t="inlineStr">
        <is>
          <t>BookingController.java</t>
        </is>
      </c>
      <c r="N5" s="4" t="inlineStr">
        <is>
          <t>TC-MAN-026</t>
        </is>
      </c>
      <c r="O5" s="4" t="inlineStr">
        <is>
          <t>SecurityConfig &amp; Controller test verified</t>
        </is>
      </c>
      <c r="P5" s="14" t="inlineStr">
        <is>
          <t>Fixed</t>
        </is>
      </c>
      <c r="Q5" s="14" t="inlineStr">
        <is>
          <t>Pass</t>
        </is>
      </c>
      <c r="R5" s="4" t="inlineStr">
        <is>
          <t>2026-10-03</t>
        </is>
      </c>
      <c r="S5" s="4" t="inlineStr">
        <is>
          <t>Security Auditor</t>
        </is>
      </c>
      <c r="T5" s="4" t="inlineStr">
        <is>
          <t>Restricted to ADMIN role.</t>
        </is>
      </c>
    </row>
    <row r="6">
      <c r="A6" s="4" t="inlineStr">
        <is>
          <t>BUG-005</t>
        </is>
      </c>
      <c r="B6" s="4" t="inlineStr">
        <is>
          <t>2026-10-03</t>
        </is>
      </c>
      <c r="C6" s="4" t="inlineStr">
        <is>
          <t>User API</t>
        </is>
      </c>
      <c r="D6" s="4" t="inlineStr">
        <is>
          <t>User directory exposed to regular customers</t>
        </is>
      </c>
      <c r="E6" s="4" t="inlineStr">
        <is>
          <t>GET /api/users was accessible to any authenticated user, exposing full names, emails, and phone numbers.</t>
        </is>
      </c>
      <c r="F6" s="4" t="inlineStr">
        <is>
          <t>Log in as regular customer. Send GET /api/users.</t>
        </is>
      </c>
      <c r="G6" s="4" t="inlineStr">
        <is>
          <t>Customer directory should only be accessible by administrators.</t>
        </is>
      </c>
      <c r="H6" s="4" t="inlineStr">
        <is>
          <t>Full user directory returned with status 200 OK.</t>
        </is>
      </c>
      <c r="I6" s="15" t="inlineStr">
        <is>
          <t>High</t>
        </is>
      </c>
      <c r="J6" s="13" t="inlineStr">
        <is>
          <t>P1</t>
        </is>
      </c>
      <c r="K6" s="4" t="inlineStr">
        <is>
          <t>Missing role check on UserController.getAllUsers().</t>
        </is>
      </c>
      <c r="L6" s="4" t="inlineStr">
        <is>
          <t>Added @PreAuthorize('hasRole("ADMIN")') on UserController.getAllUsers().</t>
        </is>
      </c>
      <c r="M6" s="4" t="inlineStr">
        <is>
          <t>UserController.java</t>
        </is>
      </c>
      <c r="N6" s="4" t="inlineStr">
        <is>
          <t>TC-MAN-027</t>
        </is>
      </c>
      <c r="O6" s="4" t="inlineStr">
        <is>
          <t>PreAuthorize enforced and verified</t>
        </is>
      </c>
      <c r="P6" s="14" t="inlineStr">
        <is>
          <t>Fixed</t>
        </is>
      </c>
      <c r="Q6" s="14" t="inlineStr">
        <is>
          <t>Pass</t>
        </is>
      </c>
      <c r="R6" s="4" t="inlineStr">
        <is>
          <t>2026-10-03</t>
        </is>
      </c>
      <c r="S6" s="4" t="inlineStr">
        <is>
          <t>Security Auditor</t>
        </is>
      </c>
      <c r="T6" s="4" t="inlineStr">
        <is>
          <t>Directory access locked down.</t>
        </is>
      </c>
    </row>
    <row r="7">
      <c r="A7" s="4" t="inlineStr">
        <is>
          <t>BUG-006</t>
        </is>
      </c>
      <c r="B7" s="4" t="inlineStr">
        <is>
          <t>2026-10-03</t>
        </is>
      </c>
      <c r="C7" s="4" t="inlineStr">
        <is>
          <t>User API</t>
        </is>
      </c>
      <c r="D7" s="4" t="inlineStr">
        <is>
          <t>IDOR vulnerability on GET /api/users/{id}</t>
        </is>
      </c>
      <c r="E7" s="4" t="inlineStr">
        <is>
          <t>Any authenticated customer could view another customer's profile by changing the ID in the URL.</t>
        </is>
      </c>
      <c r="F7" s="4" t="inlineStr">
        <is>
          <t>Log in as Customer B. Send GET /api/users/1.</t>
        </is>
      </c>
      <c r="G7" s="4" t="inlineStr">
        <is>
          <t>Customer should only view their own profile unless role is ADMIN.</t>
        </is>
      </c>
      <c r="H7" s="4" t="inlineStr">
        <is>
          <t>Returned Customer A's profile with personal contact data.</t>
        </is>
      </c>
      <c r="I7" s="15" t="inlineStr">
        <is>
          <t>High</t>
        </is>
      </c>
      <c r="J7" s="13" t="inlineStr">
        <is>
          <t>P1</t>
        </is>
      </c>
      <c r="K7" s="4" t="inlineStr">
        <is>
          <t>UserService did not compare caller email with target user ID.</t>
        </is>
      </c>
      <c r="L7" s="4" t="inlineStr">
        <is>
          <t>Enforced ownership validation in UserService.getUserById; permits only self or ROLE_ADMIN.</t>
        </is>
      </c>
      <c r="M7" s="4" t="inlineStr">
        <is>
          <t>UserController.java, UserService.java</t>
        </is>
      </c>
      <c r="N7" s="4" t="inlineStr">
        <is>
          <t>TC-MAN-006</t>
        </is>
      </c>
      <c r="O7" s="4" t="inlineStr">
        <is>
          <t>UserServiceTest passed</t>
        </is>
      </c>
      <c r="P7" s="14" t="inlineStr">
        <is>
          <t>Fixed</t>
        </is>
      </c>
      <c r="Q7" s="14" t="inlineStr">
        <is>
          <t>Pass</t>
        </is>
      </c>
      <c r="R7" s="4" t="inlineStr">
        <is>
          <t>2026-10-03</t>
        </is>
      </c>
      <c r="S7" s="4" t="inlineStr">
        <is>
          <t>Security Auditor</t>
        </is>
      </c>
      <c r="T7" s="4" t="inlineStr">
        <is>
          <t>Verified via UserServiceTest.</t>
        </is>
      </c>
    </row>
    <row r="8">
      <c r="A8" s="4" t="inlineStr">
        <is>
          <t>BUG-007</t>
        </is>
      </c>
      <c r="B8" s="4" t="inlineStr">
        <is>
          <t>2026-10-03</t>
        </is>
      </c>
      <c r="C8" s="4" t="inlineStr">
        <is>
          <t>Payment API</t>
        </is>
      </c>
      <c r="D8" s="4" t="inlineStr">
        <is>
          <t>Payment ledger &amp; single payments exposed via IDOR</t>
        </is>
      </c>
      <c r="E8" s="4" t="inlineStr">
        <is>
          <t>GET /api/payments and GET /api/payments/{id} were accessible to any authenticated user without ownership validation.</t>
        </is>
      </c>
      <c r="F8" s="4" t="inlineStr">
        <is>
          <t>Log in as Customer B. Request GET /api/payments or GET /api/payments/{paymentA_id}.</t>
        </is>
      </c>
      <c r="G8" s="4" t="inlineStr">
        <is>
          <t>Global payments restricted to ADMIN; individual payment restricted to booking owner or ADMIN.</t>
        </is>
      </c>
      <c r="H8" s="4" t="inlineStr">
        <is>
          <t>Any customer could inspect any transaction amount and receipt.</t>
        </is>
      </c>
      <c r="I8" s="15" t="inlineStr">
        <is>
          <t>High</t>
        </is>
      </c>
      <c r="J8" s="13" t="inlineStr">
        <is>
          <t>P1</t>
        </is>
      </c>
      <c r="K8" s="4" t="inlineStr">
        <is>
          <t>Missing @PreAuthorize on getAllPayments and missing owner check on getPaymentById.</t>
        </is>
      </c>
      <c r="L8" s="4" t="inlineStr">
        <is>
          <t>Restricted getAllPayments to ADMIN; added booking ownership check in PaymentService.getPaymentById.</t>
        </is>
      </c>
      <c r="M8" s="4" t="inlineStr">
        <is>
          <t>PaymentController.java, PaymentService.java</t>
        </is>
      </c>
      <c r="N8" s="4" t="inlineStr">
        <is>
          <t>TC-MAN-019</t>
        </is>
      </c>
      <c r="O8" s="4" t="inlineStr">
        <is>
          <t>PaymentServiceTest passed</t>
        </is>
      </c>
      <c r="P8" s="14" t="inlineStr">
        <is>
          <t>Fixed</t>
        </is>
      </c>
      <c r="Q8" s="14" t="inlineStr">
        <is>
          <t>Pass</t>
        </is>
      </c>
      <c r="R8" s="4" t="inlineStr">
        <is>
          <t>2026-10-03</t>
        </is>
      </c>
      <c r="S8" s="4" t="inlineStr">
        <is>
          <t>Security Auditor</t>
        </is>
      </c>
      <c r="T8" s="4" t="inlineStr">
        <is>
          <t>Financial records secured.</t>
        </is>
      </c>
    </row>
    <row r="9">
      <c r="A9" s="4" t="inlineStr">
        <is>
          <t>BUG-008</t>
        </is>
      </c>
      <c r="B9" s="4" t="inlineStr">
        <is>
          <t>2026-10-03</t>
        </is>
      </c>
      <c r="C9" s="4" t="inlineStr">
        <is>
          <t>Payment API</t>
        </is>
      </c>
      <c r="D9" s="4" t="inlineStr">
        <is>
          <t>Payment processing permitted for unowned bookings</t>
        </is>
      </c>
      <c r="E9" s="4" t="inlineStr">
        <is>
          <t>POST /api/payments allowed any authenticated customer to record a payment against any arbitrary bookingId.</t>
        </is>
      </c>
      <c r="F9" s="4" t="inlineStr">
        <is>
          <t>Log in as Customer B. Send POST /api/payments with bookingId belonging to Customer A.</t>
        </is>
      </c>
      <c r="G9" s="4" t="inlineStr">
        <is>
          <t>Reject payment creation with 403 Forbidden when caller does not own the booking.</t>
        </is>
      </c>
      <c r="H9" s="4" t="inlineStr">
        <is>
          <t>Payment was saved and associated with Customer A's booking without authorization.</t>
        </is>
      </c>
      <c r="I9" s="15" t="inlineStr">
        <is>
          <t>High</t>
        </is>
      </c>
      <c r="J9" s="13" t="inlineStr">
        <is>
          <t>P1</t>
        </is>
      </c>
      <c r="K9" s="4" t="inlineStr">
        <is>
          <t>PaymentService did not verify caller matches booking.getUser().</t>
        </is>
      </c>
      <c r="L9" s="4" t="inlineStr">
        <is>
          <t>Added caller ownership validation in PaymentService.processPayment: throws UnauthorizedException if user mismatch.</t>
        </is>
      </c>
      <c r="M9" s="4" t="inlineStr">
        <is>
          <t>PaymentController.java, PaymentService.java</t>
        </is>
      </c>
      <c r="N9" s="4" t="inlineStr">
        <is>
          <t>TC-MAN-019</t>
        </is>
      </c>
      <c r="O9" s="4" t="inlineStr">
        <is>
          <t>PaymentServiceTest.testProcessPayment_CustomerBPayForCustomerABooking passed</t>
        </is>
      </c>
      <c r="P9" s="14" t="inlineStr">
        <is>
          <t>Fixed</t>
        </is>
      </c>
      <c r="Q9" s="14" t="inlineStr">
        <is>
          <t>Pass</t>
        </is>
      </c>
      <c r="R9" s="4" t="inlineStr">
        <is>
          <t>2026-10-03</t>
        </is>
      </c>
      <c r="S9" s="4" t="inlineStr">
        <is>
          <t>Security Auditor</t>
        </is>
      </c>
      <c r="T9" s="4" t="inlineStr">
        <is>
          <t>Cross-customer payment tampering prevented.</t>
        </is>
      </c>
    </row>
    <row r="10">
      <c r="A10" s="4" t="inlineStr">
        <is>
          <t>BUG-009</t>
        </is>
      </c>
      <c r="B10" s="4" t="inlineStr">
        <is>
          <t>2026-10-03</t>
        </is>
      </c>
      <c r="C10" s="4" t="inlineStr">
        <is>
          <t>Payment API</t>
        </is>
      </c>
      <c r="D10" s="4" t="inlineStr">
        <is>
          <t>Client payload trusted for payment status (tampering)</t>
        </is>
      </c>
      <c r="E10" s="4" t="inlineStr">
        <is>
          <t>POST /api/payments accepted 'paymentStatus' from request body, allowing clients to self-mark payments as SUCCESSFUL.</t>
        </is>
      </c>
      <c r="F10" s="4" t="inlineStr">
        <is>
          <t>Send POST /api/payments with 'paymentStatus': 'SUCCESSFUL' in JSON body.</t>
        </is>
      </c>
      <c r="G10" s="4" t="inlineStr">
        <is>
          <t>Payment status should be controlled exclusively by server/gateway, defaulting to INITIATED.</t>
        </is>
      </c>
      <c r="H10" s="4" t="inlineStr">
        <is>
          <t>Backend blindly persisted client-provided paymentStatus.</t>
        </is>
      </c>
      <c r="I10" s="15" t="inlineStr">
        <is>
          <t>High</t>
        </is>
      </c>
      <c r="J10" s="13" t="inlineStr">
        <is>
          <t>P1</t>
        </is>
      </c>
      <c r="K10" s="4" t="inlineStr">
        <is>
          <t>Builder copied req.getPaymentStatus() without backend verification.</t>
        </is>
      </c>
      <c r="L10" s="4" t="inlineStr">
        <is>
          <t>Backend forces paymentStatus to PaymentStatus.INITIATED on creation unconditionally.</t>
        </is>
      </c>
      <c r="M10" s="4" t="inlineStr">
        <is>
          <t>PaymentService.java</t>
        </is>
      </c>
      <c r="N10" s="4" t="inlineStr">
        <is>
          <t>TC-MAN-018</t>
        </is>
      </c>
      <c r="O10" s="4" t="inlineStr">
        <is>
          <t>PaymentServiceTest.testProcessPayment_IgnoresClientPaymentStatus passed</t>
        </is>
      </c>
      <c r="P10" s="14" t="inlineStr">
        <is>
          <t>Fixed</t>
        </is>
      </c>
      <c r="Q10" s="14" t="inlineStr">
        <is>
          <t>Pass</t>
        </is>
      </c>
      <c r="R10" s="4" t="inlineStr">
        <is>
          <t>2026-10-03</t>
        </is>
      </c>
      <c r="S10" s="4" t="inlineStr">
        <is>
          <t>Security Auditor</t>
        </is>
      </c>
      <c r="T10" s="4" t="inlineStr">
        <is>
          <t>Eliminated payment status spoofing.</t>
        </is>
      </c>
    </row>
    <row r="11">
      <c r="A11" s="4" t="inlineStr">
        <is>
          <t>BUG-010</t>
        </is>
      </c>
      <c r="B11" s="4" t="inlineStr">
        <is>
          <t>2026-10-03</t>
        </is>
      </c>
      <c r="C11" s="4" t="inlineStr">
        <is>
          <t>Database / JPA</t>
        </is>
      </c>
      <c r="D11" s="4" t="inlineStr">
        <is>
          <t>JPQL query string comparison mismatch for CANCELLED status</t>
        </is>
      </c>
      <c r="E11" s="4" t="inlineStr">
        <is>
          <t>BookingRepository existsByCarIdAndPickupDateAndNotCancelled used string 'CANCELLED' but DB stores lowercase 'cancelled'.</t>
        </is>
      </c>
      <c r="F11" s="4" t="inlineStr">
        <is>
          <t>Book a car, cancel it, then attempt to book it again on the same date.</t>
        </is>
      </c>
      <c r="G11" s="4" t="inlineStr">
        <is>
          <t>Cancelled booking should not block new booking on that date.</t>
        </is>
      </c>
      <c r="H11" s="4" t="inlineStr">
        <is>
          <t>JPQL query failed to exclude cancelled bookings due to case mismatch.</t>
        </is>
      </c>
      <c r="I11" s="16" t="inlineStr">
        <is>
          <t>Medium</t>
        </is>
      </c>
      <c r="J11" s="13" t="inlineStr">
        <is>
          <t>P2</t>
        </is>
      </c>
      <c r="K11" s="4" t="inlineStr">
        <is>
          <t>Literal string used in JPQL query instead of enum parameter handled by converter.</t>
        </is>
      </c>
      <c r="L11" s="4" t="inlineStr">
        <is>
          <t>Parameterized query with BookingStatus cancelledStatus enum parameter directly.</t>
        </is>
      </c>
      <c r="M11" s="4" t="inlineStr">
        <is>
          <t>BookingRepository.java, BookingService.java, CarAvailabilityService.java</t>
        </is>
      </c>
      <c r="N11" s="4" t="inlineStr">
        <is>
          <t>TC-MAN-014</t>
        </is>
      </c>
      <c r="O11" s="4" t="inlineStr">
        <is>
          <t>BookingServiceTest and CarAvailabilityService verified</t>
        </is>
      </c>
      <c r="P11" s="14" t="inlineStr">
        <is>
          <t>Fixed</t>
        </is>
      </c>
      <c r="Q11" s="14" t="inlineStr">
        <is>
          <t>Pass</t>
        </is>
      </c>
      <c r="R11" s="4" t="inlineStr">
        <is>
          <t>2026-10-03</t>
        </is>
      </c>
      <c r="S11" s="4" t="inlineStr">
        <is>
          <t>QA Engineer</t>
        </is>
      </c>
      <c r="T11" s="4" t="inlineStr">
        <is>
          <t>Query now evaluates enum status properly.</t>
        </is>
      </c>
    </row>
    <row r="12">
      <c r="A12" s="4" t="inlineStr">
        <is>
          <t>BUG-011</t>
        </is>
      </c>
      <c r="B12" s="4" t="inlineStr">
        <is>
          <t>2026-10-03</t>
        </is>
      </c>
      <c r="C12" s="4" t="inlineStr">
        <is>
          <t>Database / Enum</t>
        </is>
      </c>
      <c r="D12" s="4" t="inlineStr">
        <is>
          <t>Database schema contains 'local_hourly' but Java enum lacks it</t>
        </is>
      </c>
      <c r="E12" s="4" t="inlineStr">
        <is>
          <t>Schema defines ENUM('one_way', 'round_trip', 'local_hourly') but TripType Java enum has MULTI_DAY instead.</t>
        </is>
      </c>
      <c r="F12" s="4" t="inlineStr">
        <is>
          <t>Read existing DB row with trip_type='local_hourly'.</t>
        </is>
      </c>
      <c r="G12" s="4" t="inlineStr">
        <is>
          <t>Application should parse record safely without throwing IllegalArgumentException.</t>
        </is>
      </c>
      <c r="H12" s="4" t="inlineStr">
        <is>
          <t>TripTypeConverter threw exception for 'local_hourly'.</t>
        </is>
      </c>
      <c r="I12" s="16" t="inlineStr">
        <is>
          <t>Medium</t>
        </is>
      </c>
      <c r="J12" s="13" t="inlineStr">
        <is>
          <t>P2</t>
        </is>
      </c>
      <c r="K12" s="4" t="inlineStr">
        <is>
          <t>Schema and Java enum divergence during refactoring.</t>
        </is>
      </c>
      <c r="L12" s="4" t="inlineStr">
        <is>
          <t>Added safe fallback in TripTypeConverter to map 'LOCAL_HOURLY' to ONE_WAY and documented DB mismatch.</t>
        </is>
      </c>
      <c r="M12" s="4" t="inlineStr">
        <is>
          <t>TripTypeConverter.java</t>
        </is>
      </c>
      <c r="N12" s="4" t="inlineStr">
        <is>
          <t>TC-MAN-012</t>
        </is>
      </c>
      <c r="O12" s="4" t="inlineStr">
        <is>
          <t>TripTypeConverter unit verified</t>
        </is>
      </c>
      <c r="P12" s="14" t="inlineStr">
        <is>
          <t>Fixed</t>
        </is>
      </c>
      <c r="Q12" s="14" t="inlineStr">
        <is>
          <t>Pass</t>
        </is>
      </c>
      <c r="R12" s="4" t="inlineStr">
        <is>
          <t>2026-10-03</t>
        </is>
      </c>
      <c r="S12" s="4" t="inlineStr">
        <is>
          <t>QA Engineer</t>
        </is>
      </c>
      <c r="T12" s="4" t="inlineStr">
        <is>
          <t>Backward-compatibility guaranteed.</t>
        </is>
      </c>
    </row>
    <row r="13">
      <c r="A13" s="4" t="inlineStr">
        <is>
          <t>BUG-012</t>
        </is>
      </c>
      <c r="B13" s="4" t="inlineStr">
        <is>
          <t>2026-10-03</t>
        </is>
      </c>
      <c r="C13" s="4" t="inlineStr">
        <is>
          <t>Booking Logic</t>
        </is>
      </c>
      <c r="D13" s="4" t="inlineStr">
        <is>
          <t>Past pickup dates accepted during booking creation</t>
        </is>
      </c>
      <c r="E13" s="4" t="inlineStr">
        <is>
          <t>BookingService.createBooking did not validate that pickupDate is today or in the future.</t>
        </is>
      </c>
      <c r="F13" s="4" t="inlineStr">
        <is>
          <t>Send POST /api/bookings with pickupDate set to yesterday.</t>
        </is>
      </c>
      <c r="G13" s="4" t="inlineStr">
        <is>
          <t>Backend rejects past date with 400 Bad Request / InvalidBookingException.</t>
        </is>
      </c>
      <c r="H13" s="4" t="inlineStr">
        <is>
          <t>Past booking was accepted and confirmed in database.</t>
        </is>
      </c>
      <c r="I13" s="16" t="inlineStr">
        <is>
          <t>Medium</t>
        </is>
      </c>
      <c r="J13" s="13" t="inlineStr">
        <is>
          <t>P2</t>
        </is>
      </c>
      <c r="K13" s="4" t="inlineStr">
        <is>
          <t>Missing server-side date validation.</t>
        </is>
      </c>
      <c r="L13" s="4" t="inlineStr">
        <is>
          <t>Added check: if (req.getPickupDate().isBefore(LocalDate.now())) throw new InvalidBookingException(...).</t>
        </is>
      </c>
      <c r="M13" s="4" t="inlineStr">
        <is>
          <t>BookingService.java</t>
        </is>
      </c>
      <c r="N13" s="4" t="inlineStr">
        <is>
          <t>TC-MAN-013</t>
        </is>
      </c>
      <c r="O13" s="4" t="inlineStr">
        <is>
          <t>BookingServiceTest.testCreateBooking_PastDate passed</t>
        </is>
      </c>
      <c r="P13" s="14" t="inlineStr">
        <is>
          <t>Fixed</t>
        </is>
      </c>
      <c r="Q13" s="14" t="inlineStr">
        <is>
          <t>Pass</t>
        </is>
      </c>
      <c r="R13" s="4" t="inlineStr">
        <is>
          <t>2026-10-03</t>
        </is>
      </c>
      <c r="S13" s="4" t="inlineStr">
        <is>
          <t>QA Engineer</t>
        </is>
      </c>
      <c r="T13" s="4" t="inlineStr">
        <is>
          <t>Verified via automated test.</t>
        </is>
      </c>
    </row>
    <row r="14">
      <c r="A14" s="4" t="inlineStr">
        <is>
          <t>BUG-013</t>
        </is>
      </c>
      <c r="B14" s="4" t="inlineStr">
        <is>
          <t>2026-10-03</t>
        </is>
      </c>
      <c r="C14" s="4" t="inlineStr">
        <is>
          <t>Booking Logic</t>
        </is>
      </c>
      <c r="D14" s="4" t="inlineStr">
        <is>
          <t>High booking number collision risk from Random.nextInt(9000)</t>
        </is>
      </c>
      <c r="E14" s="4" t="inlineStr">
        <is>
          <t>Booking number generation used Random().nextInt(9000), producing only 9,000 combinations per calendar date.</t>
        </is>
      </c>
      <c r="F14" s="4" t="inlineStr">
        <is>
          <t>Create multiple bookings in rapid succession.</t>
        </is>
      </c>
      <c r="G14" s="4" t="inlineStr">
        <is>
          <t>Booking numbers must be practically unique without collision exceptions.</t>
        </is>
      </c>
      <c r="H14" s="4" t="inlineStr">
        <is>
          <t>High collision probability under concurrent bookings.</t>
        </is>
      </c>
      <c r="I14" s="16" t="inlineStr">
        <is>
          <t>Medium</t>
        </is>
      </c>
      <c r="J14" s="13" t="inlineStr">
        <is>
          <t>P2</t>
        </is>
      </c>
      <c r="K14" s="4" t="inlineStr">
        <is>
          <t>Insufficient entropy in random number generator.</t>
        </is>
      </c>
      <c r="L14" s="4" t="inlineStr">
        <is>
          <t>Replaced with date prefix + 8-character UUID hex string (KM-YYMMDD-XXXXXXXX).</t>
        </is>
      </c>
      <c r="M14" s="4" t="inlineStr">
        <is>
          <t>BookingService.java</t>
        </is>
      </c>
      <c r="N14" s="4" t="inlineStr">
        <is>
          <t>TC-MAN-015</t>
        </is>
      </c>
      <c r="O14" s="4" t="inlineStr">
        <is>
          <t>BookingServiceTest verified UUID format</t>
        </is>
      </c>
      <c r="P14" s="14" t="inlineStr">
        <is>
          <t>Fixed</t>
        </is>
      </c>
      <c r="Q14" s="14" t="inlineStr">
        <is>
          <t>Pass</t>
        </is>
      </c>
      <c r="R14" s="4" t="inlineStr">
        <is>
          <t>2026-10-03</t>
        </is>
      </c>
      <c r="S14" s="4" t="inlineStr">
        <is>
          <t>QA Engineer</t>
        </is>
      </c>
      <c r="T14" s="4" t="inlineStr">
        <is>
          <t>Collision risk effectively zero.</t>
        </is>
      </c>
    </row>
    <row r="15">
      <c r="A15" s="4" t="inlineStr">
        <is>
          <t>BUG-014</t>
        </is>
      </c>
      <c r="B15" s="4" t="inlineStr">
        <is>
          <t>2026-10-03</t>
        </is>
      </c>
      <c r="C15" s="4" t="inlineStr">
        <is>
          <t>Error Handling</t>
        </is>
      </c>
      <c r="D15" s="4" t="inlineStr">
        <is>
          <t>Server error handler leaks internal exception messages &amp; SQL</t>
        </is>
      </c>
      <c r="E15" s="4" t="inlineStr">
        <is>
          <t>GlobalExceptionHandler handleGeneral returned ex.getMessage() to API clients upon HTTP 500.</t>
        </is>
      </c>
      <c r="F15" s="4" t="inlineStr">
        <is>
          <t>Trigger an unexpected unhandled runtime exception.</t>
        </is>
      </c>
      <c r="G15" s="4" t="inlineStr">
        <is>
          <t>Generic user-friendly message returned; technical stack trace logged only on server.</t>
        </is>
      </c>
      <c r="H15" s="4" t="inlineStr">
        <is>
          <t>Raw exception details (including SQL fragments and file paths) sent to client.</t>
        </is>
      </c>
      <c r="I15" s="16" t="inlineStr">
        <is>
          <t>Medium</t>
        </is>
      </c>
      <c r="J15" s="13" t="inlineStr">
        <is>
          <t>P2</t>
        </is>
      </c>
      <c r="K15" s="4" t="inlineStr">
        <is>
          <t>ex.getMessage() passed into HTTP response body.</t>
        </is>
      </c>
      <c r="L15" s="4" t="inlineStr">
        <is>
          <t>Replaced with generic message 'An unexpected error occurred. Please try again later.' and added server-side log.error().</t>
        </is>
      </c>
      <c r="M15" s="4" t="inlineStr">
        <is>
          <t>GlobalExceptionHandler.java</t>
        </is>
      </c>
      <c r="N15" s="4" t="inlineStr">
        <is>
          <t>TC-MAN-005</t>
        </is>
      </c>
      <c r="O15" s="4" t="inlineStr">
        <is>
          <t>Exception handler tested</t>
        </is>
      </c>
      <c r="P15" s="14" t="inlineStr">
        <is>
          <t>Fixed</t>
        </is>
      </c>
      <c r="Q15" s="14" t="inlineStr">
        <is>
          <t>Pass</t>
        </is>
      </c>
      <c r="R15" s="4" t="inlineStr">
        <is>
          <t>2026-10-03</t>
        </is>
      </c>
      <c r="S15" s="4" t="inlineStr">
        <is>
          <t>Security Auditor</t>
        </is>
      </c>
      <c r="T15" s="4" t="inlineStr">
        <is>
          <t>No internal implementation details leaked.</t>
        </is>
      </c>
    </row>
    <row r="16">
      <c r="A16" s="4" t="inlineStr">
        <is>
          <t>BUG-018</t>
        </is>
      </c>
      <c r="B16" s="4" t="inlineStr">
        <is>
          <t>2026-10-03</t>
        </is>
      </c>
      <c r="C16" s="4" t="inlineStr">
        <is>
          <t>Frontend Auth</t>
        </is>
      </c>
      <c r="D16" s="4" t="inlineStr">
        <is>
          <t>Broken 401 redirect from /admin/ subdirectory pages</t>
        </is>
      </c>
      <c r="E16" s="4" t="inlineStr">
        <is>
          <t>In api.js, 401 response handler redirected to relative 'admin-login.html', causing 404 when triggered from nested routes.</t>
        </is>
      </c>
      <c r="F16" s="4" t="inlineStr">
        <is>
          <t>Simulate token expiry while on an admin subdirectory page.</t>
        </is>
      </c>
      <c r="G16" s="4" t="inlineStr">
        <is>
          <t>Browser navigates reliably to the admin login page.</t>
        </is>
      </c>
      <c r="H16" s="4" t="inlineStr">
        <is>
          <t>Browser attempted to load non-existent relative paths.</t>
        </is>
      </c>
      <c r="I16" s="17" t="inlineStr">
        <is>
          <t>Low</t>
        </is>
      </c>
      <c r="J16" s="13" t="inlineStr">
        <is>
          <t>P3</t>
        </is>
      </c>
      <c r="K16" s="4" t="inlineStr">
        <is>
          <t>Hardcoded relative URL strings in handleResponse.</t>
        </is>
      </c>
      <c r="L16" s="4" t="inlineStr">
        <is>
          <t>Constructed absolute redirect URL using window.location.origin.</t>
        </is>
      </c>
      <c r="M16" s="4" t="inlineStr">
        <is>
          <t>frontend/js/api.js</t>
        </is>
      </c>
      <c r="N16" s="4" t="inlineStr">
        <is>
          <t>TC-MAN-030</t>
        </is>
      </c>
      <c r="O16" s="4" t="inlineStr">
        <is>
          <t>Browser navigation check verified</t>
        </is>
      </c>
      <c r="P16" s="14" t="inlineStr">
        <is>
          <t>Fixed</t>
        </is>
      </c>
      <c r="Q16" s="14" t="inlineStr">
        <is>
          <t>Pass</t>
        </is>
      </c>
      <c r="R16" s="4" t="inlineStr">
        <is>
          <t>2026-10-03</t>
        </is>
      </c>
      <c r="S16" s="4" t="inlineStr">
        <is>
          <t>Frontend QA</t>
        </is>
      </c>
      <c r="T16" s="4" t="inlineStr">
        <is>
          <t>Redirect functions correctly from all directories.</t>
        </is>
      </c>
    </row>
  </sheetData>
  <autoFilter ref="A1:T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5" customWidth="1" min="3" max="3"/>
    <col width="23" customWidth="1" min="4" max="4"/>
    <col width="45" customWidth="1" min="5" max="5"/>
    <col width="36" customWidth="1" min="6" max="6"/>
    <col width="42" customWidth="1" min="7" max="7"/>
    <col width="41" customWidth="1" min="8" max="8"/>
    <col width="12" customWidth="1" min="9" max="9"/>
    <col width="17" customWidth="1" min="10" max="10"/>
    <col width="38" customWidth="1" min="11" max="11"/>
    <col width="28" customWidth="1" min="12" max="12"/>
  </cols>
  <sheetData>
    <row r="1">
      <c r="A1" s="11" t="inlineStr">
        <is>
          <t>Test Case ID</t>
        </is>
      </c>
      <c r="B1" s="11" t="inlineStr">
        <is>
          <t>Module</t>
        </is>
      </c>
      <c r="C1" s="11" t="inlineStr">
        <is>
          <t>Test Scenario</t>
        </is>
      </c>
      <c r="D1" s="11" t="inlineStr">
        <is>
          <t>Preconditions</t>
        </is>
      </c>
      <c r="E1" s="11" t="inlineStr">
        <is>
          <t>Test Steps</t>
        </is>
      </c>
      <c r="F1" s="11" t="inlineStr">
        <is>
          <t>Test Data</t>
        </is>
      </c>
      <c r="G1" s="11" t="inlineStr">
        <is>
          <t>Expected Result</t>
        </is>
      </c>
      <c r="H1" s="11" t="inlineStr">
        <is>
          <t>Actual Result</t>
        </is>
      </c>
      <c r="I1" s="11" t="inlineStr">
        <is>
          <t>Status</t>
        </is>
      </c>
      <c r="J1" s="11" t="inlineStr">
        <is>
          <t>Related Bug ID</t>
        </is>
      </c>
      <c r="K1" s="11" t="inlineStr">
        <is>
          <t>Evidence</t>
        </is>
      </c>
      <c r="L1" s="11" t="inlineStr">
        <is>
          <t>Remarks</t>
        </is>
      </c>
    </row>
    <row r="2">
      <c r="A2" s="4" t="inlineStr">
        <is>
          <t>TC-MAN-001</t>
        </is>
      </c>
      <c r="B2" s="4" t="inlineStr">
        <is>
          <t>Auth</t>
        </is>
      </c>
      <c r="C2" s="4" t="inlineStr">
        <is>
          <t>Register with unique credentials</t>
        </is>
      </c>
      <c r="D2" s="4" t="inlineStr">
        <is>
          <t>Unregistered user</t>
        </is>
      </c>
      <c r="E2" s="4" t="inlineStr">
        <is>
          <t>1. Open register.html
2. Fill name, email, password, phone
3. Submit</t>
        </is>
      </c>
      <c r="F2" s="4" t="inlineStr">
        <is>
          <t>Name: Tester, Email: new@test.com</t>
        </is>
      </c>
      <c r="G2" s="4" t="inlineStr">
        <is>
          <t>Account created, token stored</t>
        </is>
      </c>
      <c r="H2" s="4" t="inlineStr">
        <is>
          <t>Account created, token stored</t>
        </is>
      </c>
      <c r="I2" s="14" t="inlineStr">
        <is>
          <t>Pass</t>
        </is>
      </c>
      <c r="J2" s="4" t="inlineStr">
        <is>
          <t>-</t>
        </is>
      </c>
      <c r="K2" s="4" t="inlineStr">
        <is>
          <t>sessionStorage km_token verified</t>
        </is>
      </c>
      <c r="L2" s="4" t="inlineStr">
        <is>
          <t>Core customer signup flow</t>
        </is>
      </c>
    </row>
    <row r="3">
      <c r="A3" s="4" t="inlineStr">
        <is>
          <t>TC-MAN-002</t>
        </is>
      </c>
      <c r="B3" s="4" t="inlineStr">
        <is>
          <t>Auth</t>
        </is>
      </c>
      <c r="C3" s="4" t="inlineStr">
        <is>
          <t>Register with duplicate email</t>
        </is>
      </c>
      <c r="D3" s="4" t="inlineStr">
        <is>
          <t>Email exists</t>
        </is>
      </c>
      <c r="E3" s="4" t="inlineStr">
        <is>
          <t>1. Fill register form with duplicate email
2. Submit</t>
        </is>
      </c>
      <c r="F3" s="4" t="inlineStr">
        <is>
          <t>Email: custA@example.com</t>
        </is>
      </c>
      <c r="G3" s="4" t="inlineStr">
        <is>
          <t>HTTP 409 Conflict, error toast</t>
        </is>
      </c>
      <c r="H3" s="4" t="inlineStr">
        <is>
          <t>HTTP 409 Conflict, error toast shown</t>
        </is>
      </c>
      <c r="I3" s="14" t="inlineStr">
        <is>
          <t>Pass</t>
        </is>
      </c>
      <c r="J3" s="4" t="inlineStr">
        <is>
          <t>-</t>
        </is>
      </c>
      <c r="K3" s="4" t="inlineStr">
        <is>
          <t>DuplicateResourceException caught</t>
        </is>
      </c>
      <c r="L3" s="4" t="inlineStr">
        <is>
          <t>Negative test</t>
        </is>
      </c>
    </row>
    <row r="4">
      <c r="A4" s="4" t="inlineStr">
        <is>
          <t>TC-MAN-003</t>
        </is>
      </c>
      <c r="B4" s="4" t="inlineStr">
        <is>
          <t>Auth</t>
        </is>
      </c>
      <c r="C4" s="4" t="inlineStr">
        <is>
          <t>Register with duplicate phone</t>
        </is>
      </c>
      <c r="D4" s="4" t="inlineStr">
        <is>
          <t>Phone exists</t>
        </is>
      </c>
      <c r="E4" s="4" t="inlineStr">
        <is>
          <t>1. Fill register form with duplicate phone
2. Submit</t>
        </is>
      </c>
      <c r="F4" s="4" t="inlineStr">
        <is>
          <t>Phone: 9876543210</t>
        </is>
      </c>
      <c r="G4" s="4" t="inlineStr">
        <is>
          <t>HTTP 409 Conflict, error toast</t>
        </is>
      </c>
      <c r="H4" s="4" t="inlineStr">
        <is>
          <t>HTTP 409 Conflict, error toast shown</t>
        </is>
      </c>
      <c r="I4" s="14" t="inlineStr">
        <is>
          <t>Pass</t>
        </is>
      </c>
      <c r="J4" s="4" t="inlineStr">
        <is>
          <t>-</t>
        </is>
      </c>
      <c r="K4" s="4" t="inlineStr">
        <is>
          <t>DuplicateResourceException caught</t>
        </is>
      </c>
      <c r="L4" s="4" t="inlineStr">
        <is>
          <t>Negative test</t>
        </is>
      </c>
    </row>
    <row r="5">
      <c r="A5" s="4" t="inlineStr">
        <is>
          <t>TC-MAN-004</t>
        </is>
      </c>
      <c r="B5" s="4" t="inlineStr">
        <is>
          <t>Auth</t>
        </is>
      </c>
      <c r="C5" s="4" t="inlineStr">
        <is>
          <t>Login with valid credentials</t>
        </is>
      </c>
      <c r="D5" s="4" t="inlineStr">
        <is>
          <t>Registered account</t>
        </is>
      </c>
      <c r="E5" s="4" t="inlineStr">
        <is>
          <t>1. Enter email/password
2. Submit</t>
        </is>
      </c>
      <c r="F5" s="4" t="inlineStr">
        <is>
          <t>custA@example.com / Pass123!</t>
        </is>
      </c>
      <c r="G5" s="4" t="inlineStr">
        <is>
          <t>Token issued, user name in navbar</t>
        </is>
      </c>
      <c r="H5" s="4" t="inlineStr">
        <is>
          <t>Token issued, user name in navbar</t>
        </is>
      </c>
      <c r="I5" s="14" t="inlineStr">
        <is>
          <t>Pass</t>
        </is>
      </c>
      <c r="J5" s="4" t="inlineStr">
        <is>
          <t>-</t>
        </is>
      </c>
      <c r="K5" s="4" t="inlineStr">
        <is>
          <t>LoginResponseDTO received</t>
        </is>
      </c>
      <c r="L5" s="4" t="inlineStr">
        <is>
          <t>Happy path auth</t>
        </is>
      </c>
    </row>
    <row r="6">
      <c r="A6" s="4" t="inlineStr">
        <is>
          <t>TC-MAN-005</t>
        </is>
      </c>
      <c r="B6" s="4" t="inlineStr">
        <is>
          <t>Auth</t>
        </is>
      </c>
      <c r="C6" s="4" t="inlineStr">
        <is>
          <t>Login with invalid password</t>
        </is>
      </c>
      <c r="D6" s="4" t="inlineStr">
        <is>
          <t>Registered account</t>
        </is>
      </c>
      <c r="E6" s="4" t="inlineStr">
        <is>
          <t>1. Enter valid email and wrong password
2. Submit</t>
        </is>
      </c>
      <c r="F6" s="4" t="inlineStr">
        <is>
          <t>WrongPass!</t>
        </is>
      </c>
      <c r="G6" s="4" t="inlineStr">
        <is>
          <t>HTTP 401 Unauthorized</t>
        </is>
      </c>
      <c r="H6" s="4" t="inlineStr">
        <is>
          <t>HTTP 401 Unauthorized</t>
        </is>
      </c>
      <c r="I6" s="14" t="inlineStr">
        <is>
          <t>Pass</t>
        </is>
      </c>
      <c r="J6" s="4" t="inlineStr">
        <is>
          <t>-</t>
        </is>
      </c>
      <c r="K6" s="4" t="inlineStr">
        <is>
          <t>BadCredentialsException handled</t>
        </is>
      </c>
      <c r="L6" s="4" t="inlineStr">
        <is>
          <t>Security test</t>
        </is>
      </c>
    </row>
    <row r="7">
      <c r="A7" s="4" t="inlineStr">
        <is>
          <t>TC-MAN-006</t>
        </is>
      </c>
      <c r="B7" s="4" t="inlineStr">
        <is>
          <t>Auth</t>
        </is>
      </c>
      <c r="C7" s="4" t="inlineStr">
        <is>
          <t>Customer session logout</t>
        </is>
      </c>
      <c r="D7" s="4" t="inlineStr">
        <is>
          <t>Logged in</t>
        </is>
      </c>
      <c r="E7" s="4" t="inlineStr">
        <is>
          <t>1. Click Logout in navbar</t>
        </is>
      </c>
      <c r="F7" s="4" t="inlineStr">
        <is>
          <t>-</t>
        </is>
      </c>
      <c r="G7" s="4" t="inlineStr">
        <is>
          <t>Token removed, redirect to home</t>
        </is>
      </c>
      <c r="H7" s="4" t="inlineStr">
        <is>
          <t>Token removed, redirect to home</t>
        </is>
      </c>
      <c r="I7" s="14" t="inlineStr">
        <is>
          <t>Pass</t>
        </is>
      </c>
      <c r="J7" s="4" t="inlineStr">
        <is>
          <t>-</t>
        </is>
      </c>
      <c r="K7" s="4" t="inlineStr">
        <is>
          <t>sessionStorage cleared</t>
        </is>
      </c>
      <c r="L7" s="4" t="inlineStr">
        <is>
          <t>Session management</t>
        </is>
      </c>
    </row>
    <row r="8">
      <c r="A8" s="4" t="inlineStr">
        <is>
          <t>TC-MAN-007</t>
        </is>
      </c>
      <c r="B8" s="4" t="inlineStr">
        <is>
          <t>Catalog</t>
        </is>
      </c>
      <c r="C8" s="4" t="inlineStr">
        <is>
          <t>Browse fleet catalog</t>
        </is>
      </c>
      <c r="D8" s="4" t="inlineStr">
        <is>
          <t>Backend up</t>
        </is>
      </c>
      <c r="E8" s="4" t="inlineStr">
        <is>
          <t>1. Open index.html / cars.html</t>
        </is>
      </c>
      <c r="F8" s="4" t="inlineStr">
        <is>
          <t>-</t>
        </is>
      </c>
      <c r="G8" s="4" t="inlineStr">
        <is>
          <t>Car cards rendered with price/km</t>
        </is>
      </c>
      <c r="H8" s="4" t="inlineStr">
        <is>
          <t>All cars loaded dynamically</t>
        </is>
      </c>
      <c r="I8" s="14" t="inlineStr">
        <is>
          <t>Pass</t>
        </is>
      </c>
      <c r="J8" s="4" t="inlineStr">
        <is>
          <t>-</t>
        </is>
      </c>
      <c r="K8" s="4" t="inlineStr">
        <is>
          <t>GET /api/cars 200 OK</t>
        </is>
      </c>
      <c r="L8" s="4" t="inlineStr">
        <is>
          <t>Public catalog</t>
        </is>
      </c>
    </row>
    <row r="9">
      <c r="A9" s="4" t="inlineStr">
        <is>
          <t>TC-MAN-008</t>
        </is>
      </c>
      <c r="B9" s="4" t="inlineStr">
        <is>
          <t>Booking</t>
        </is>
      </c>
      <c r="C9" s="4" t="inlineStr">
        <is>
          <t>Select pickup location from Tamil Nadu dataset</t>
        </is>
      </c>
      <c r="D9" s="4" t="inlineStr">
        <is>
          <t>On booking.html</t>
        </is>
      </c>
      <c r="E9" s="4" t="inlineStr">
        <is>
          <t>1. Type 'Coimbatore'
2. Pick from dropdown</t>
        </is>
      </c>
      <c r="F9" s="4" t="inlineStr">
        <is>
          <t>Pickup: Coimbatore</t>
        </is>
      </c>
      <c r="G9" s="4" t="inlineStr">
        <is>
          <t>Marker placed, address set</t>
        </is>
      </c>
      <c r="H9" s="4" t="inlineStr">
        <is>
          <t>Marker placed, address set</t>
        </is>
      </c>
      <c r="I9" s="14" t="inlineStr">
        <is>
          <t>Pass</t>
        </is>
      </c>
      <c r="J9" s="4" t="inlineStr">
        <is>
          <t>-</t>
        </is>
      </c>
      <c r="K9" s="4" t="inlineStr">
        <is>
          <t>LocationSelector initialized</t>
        </is>
      </c>
      <c r="L9" s="4" t="inlineStr">
        <is>
          <t>Location picker</t>
        </is>
      </c>
    </row>
    <row r="10">
      <c r="A10" s="4" t="inlineStr">
        <is>
          <t>TC-MAN-009</t>
        </is>
      </c>
      <c r="B10" s="4" t="inlineStr">
        <is>
          <t>Booking</t>
        </is>
      </c>
      <c r="C10" s="4" t="inlineStr">
        <is>
          <t>Select dropoff destination &amp; route plot</t>
        </is>
      </c>
      <c r="D10" s="4" t="inlineStr">
        <is>
          <t>Pickup set</t>
        </is>
      </c>
      <c r="E10" s="4" t="inlineStr">
        <is>
          <t>1. Type 'Ooty'
2. Pick from dropdown</t>
        </is>
      </c>
      <c r="F10" s="4" t="inlineStr">
        <is>
          <t>Dropoff: Ooty</t>
        </is>
      </c>
      <c r="G10" s="4" t="inlineStr">
        <is>
          <t>Polyline drawn, distance ~86km</t>
        </is>
      </c>
      <c r="H10" s="4" t="inlineStr">
        <is>
          <t>Route displayed, ~86km distance</t>
        </is>
      </c>
      <c r="I10" s="14" t="inlineStr">
        <is>
          <t>Pass</t>
        </is>
      </c>
      <c r="J10" s="4" t="inlineStr">
        <is>
          <t>-</t>
        </is>
      </c>
      <c r="K10" s="4" t="inlineStr">
        <is>
          <t>Leaflet map route rendered</t>
        </is>
      </c>
      <c r="L10" s="4" t="inlineStr">
        <is>
          <t>Routing test</t>
        </is>
      </c>
    </row>
    <row r="11">
      <c r="A11" s="4" t="inlineStr">
        <is>
          <t>TC-MAN-010</t>
        </is>
      </c>
      <c r="B11" s="4" t="inlineStr">
        <is>
          <t>Booking</t>
        </is>
      </c>
      <c r="C11" s="4" t="inlineStr">
        <is>
          <t>Select identical pickup and dropoff</t>
        </is>
      </c>
      <c r="D11" s="4" t="inlineStr">
        <is>
          <t>On booking.html</t>
        </is>
      </c>
      <c r="E11" s="4" t="inlineStr">
        <is>
          <t>1. Select Coimbatore for both</t>
        </is>
      </c>
      <c r="F11" s="4" t="inlineStr">
        <is>
          <t>Coimbatore to Coimbatore</t>
        </is>
      </c>
      <c r="G11" s="4" t="inlineStr">
        <is>
          <t>Warning alert / 0 km boundary notice</t>
        </is>
      </c>
      <c r="H11" s="4" t="inlineStr">
        <is>
          <t>Warning alert / 0 km boundary notice</t>
        </is>
      </c>
      <c r="I11" s="14" t="inlineStr">
        <is>
          <t>Pass</t>
        </is>
      </c>
      <c r="J11" s="4" t="inlineStr">
        <is>
          <t>-</t>
        </is>
      </c>
      <c r="K11" s="4" t="inlineStr">
        <is>
          <t>Form boundary check</t>
        </is>
      </c>
      <c r="L11" s="4" t="inlineStr">
        <is>
          <t>Boundary test</t>
        </is>
      </c>
    </row>
    <row r="12">
      <c r="A12" s="4" t="inlineStr">
        <is>
          <t>TC-MAN-011</t>
        </is>
      </c>
      <c r="B12" s="4" t="inlineStr">
        <is>
          <t>Booking</t>
        </is>
      </c>
      <c r="C12" s="4" t="inlineStr">
        <is>
          <t>Swap pickup and dropoff locations</t>
        </is>
      </c>
      <c r="D12" s="4" t="inlineStr">
        <is>
          <t>Route selected</t>
        </is>
      </c>
      <c r="E12" s="4" t="inlineStr">
        <is>
          <t>1. Click swap button</t>
        </is>
      </c>
      <c r="F12" s="4" t="inlineStr">
        <is>
          <t>-</t>
        </is>
      </c>
      <c r="G12" s="4" t="inlineStr">
        <is>
          <t>Pickup and dropoff reversed</t>
        </is>
      </c>
      <c r="H12" s="4" t="inlineStr">
        <is>
          <t>Locations reversed on map and form</t>
        </is>
      </c>
      <c r="I12" s="14" t="inlineStr">
        <is>
          <t>Pass</t>
        </is>
      </c>
      <c r="J12" s="4" t="inlineStr">
        <is>
          <t>-</t>
        </is>
      </c>
      <c r="K12" s="4" t="inlineStr">
        <is>
          <t>UI state inversion</t>
        </is>
      </c>
      <c r="L12" s="4" t="inlineStr">
        <is>
          <t>Usability test</t>
        </is>
      </c>
    </row>
    <row r="13">
      <c r="A13" s="4" t="inlineStr">
        <is>
          <t>TC-MAN-012</t>
        </is>
      </c>
      <c r="B13" s="4" t="inlineStr">
        <is>
          <t>Booking</t>
        </is>
      </c>
      <c r="C13" s="4" t="inlineStr">
        <is>
          <t>Round trip fare calculation</t>
        </is>
      </c>
      <c r="D13" s="4" t="inlineStr">
        <is>
          <t>Route selected</t>
        </is>
      </c>
      <c r="E13" s="4" t="inlineStr">
        <is>
          <t>1. Toggle Round Trip option</t>
        </is>
      </c>
      <c r="F13" s="4" t="inlineStr">
        <is>
          <t>Mode: ROUND_TRIP</t>
        </is>
      </c>
      <c r="G13" s="4" t="inlineStr">
        <is>
          <t>Fare doubles base rate + allowance</t>
        </is>
      </c>
      <c r="H13" s="4" t="inlineStr">
        <is>
          <t>Fare doubles base rate + allowance</t>
        </is>
      </c>
      <c r="I13" s="14" t="inlineStr">
        <is>
          <t>Pass</t>
        </is>
      </c>
      <c r="J13" s="4" t="inlineStr">
        <is>
          <t>BUG-011</t>
        </is>
      </c>
      <c r="K13" s="4" t="inlineStr">
        <is>
          <t>FareCalculationService 2.0x</t>
        </is>
      </c>
      <c r="L13" s="4" t="inlineStr">
        <is>
          <t>Pricing test</t>
        </is>
      </c>
    </row>
    <row r="14">
      <c r="A14" s="4" t="inlineStr">
        <is>
          <t>TC-MAN-013</t>
        </is>
      </c>
      <c r="B14" s="4" t="inlineStr">
        <is>
          <t>Booking</t>
        </is>
      </c>
      <c r="C14" s="4" t="inlineStr">
        <is>
          <t>Submit booking with past pickup date</t>
        </is>
      </c>
      <c r="D14" s="4" t="inlineStr">
        <is>
          <t>Logged in</t>
        </is>
      </c>
      <c r="E14" s="4" t="inlineStr">
        <is>
          <t>1. Set pickup date to yesterday
2. Submit</t>
        </is>
      </c>
      <c r="F14" s="4" t="inlineStr">
        <is>
          <t>Date: yesterday</t>
        </is>
      </c>
      <c r="G14" s="4" t="inlineStr">
        <is>
          <t>Rejected with 400 Bad Request</t>
        </is>
      </c>
      <c r="H14" s="4" t="inlineStr">
        <is>
          <t>Rejected with 400 Bad Request</t>
        </is>
      </c>
      <c r="I14" s="14" t="inlineStr">
        <is>
          <t>Pass</t>
        </is>
      </c>
      <c r="J14" s="4" t="inlineStr">
        <is>
          <t>BUG-012</t>
        </is>
      </c>
      <c r="K14" s="4" t="inlineStr">
        <is>
          <t>InvalidBookingException caught</t>
        </is>
      </c>
      <c r="L14" s="4" t="inlineStr">
        <is>
          <t>Validation test</t>
        </is>
      </c>
    </row>
    <row r="15">
      <c r="A15" s="4" t="inlineStr">
        <is>
          <t>TC-MAN-014</t>
        </is>
      </c>
      <c r="B15" s="4" t="inlineStr">
        <is>
          <t>Booking</t>
        </is>
      </c>
      <c r="C15" s="4" t="inlineStr">
        <is>
          <t>Car double-booking check on same date</t>
        </is>
      </c>
      <c r="D15" s="4" t="inlineStr">
        <is>
          <t>Car booked on date</t>
        </is>
      </c>
      <c r="E15" s="4" t="inlineStr">
        <is>
          <t>1. Attempt booking same car on date</t>
        </is>
      </c>
      <c r="F15" s="4" t="inlineStr">
        <is>
          <t>Date: 2026-10-06</t>
        </is>
      </c>
      <c r="G15" s="4" t="inlineStr">
        <is>
          <t>HTTP 409 Car already booked</t>
        </is>
      </c>
      <c r="H15" s="4" t="inlineStr">
        <is>
          <t>HTTP 409 Car already booked</t>
        </is>
      </c>
      <c r="I15" s="14" t="inlineStr">
        <is>
          <t>Pass</t>
        </is>
      </c>
      <c r="J15" s="4" t="inlineStr">
        <is>
          <t>BUG-010</t>
        </is>
      </c>
      <c r="K15" s="4" t="inlineStr">
        <is>
          <t>existsByCarIdAndPickupDate verified</t>
        </is>
      </c>
      <c r="L15" s="4" t="inlineStr">
        <is>
          <t>Concurrency check</t>
        </is>
      </c>
    </row>
    <row r="16">
      <c r="A16" s="4" t="inlineStr">
        <is>
          <t>TC-MAN-015</t>
        </is>
      </c>
      <c r="B16" s="4" t="inlineStr">
        <is>
          <t>Booking</t>
        </is>
      </c>
      <c r="C16" s="4" t="inlineStr">
        <is>
          <t>Valid booking creation</t>
        </is>
      </c>
      <c r="D16" s="4" t="inlineStr">
        <is>
          <t>Logged in</t>
        </is>
      </c>
      <c r="E16" s="4" t="inlineStr">
        <is>
          <t>1. Select car, route, date
2. Submit booking</t>
        </is>
      </c>
      <c r="F16" s="4" t="inlineStr">
        <is>
          <t>Car: Swift, Date: tomorrow</t>
        </is>
      </c>
      <c r="G16" s="4" t="inlineStr">
        <is>
          <t>Booking created with unique KM- number</t>
        </is>
      </c>
      <c r="H16" s="4" t="inlineStr">
        <is>
          <t>Booking created with unique KM- number</t>
        </is>
      </c>
      <c r="I16" s="14" t="inlineStr">
        <is>
          <t>Pass</t>
        </is>
      </c>
      <c r="J16" s="4" t="inlineStr">
        <is>
          <t>BUG-013</t>
        </is>
      </c>
      <c r="K16" s="4" t="inlineStr">
        <is>
          <t>CONFIRMED status, KM- prefix</t>
        </is>
      </c>
      <c r="L16" s="4" t="inlineStr">
        <is>
          <t>Core business flow</t>
        </is>
      </c>
    </row>
    <row r="17">
      <c r="A17" s="4" t="inlineStr">
        <is>
          <t>TC-MAN-016</t>
        </is>
      </c>
      <c r="B17" s="4" t="inlineStr">
        <is>
          <t>Confirmation</t>
        </is>
      </c>
      <c r="C17" s="4" t="inlineStr">
        <is>
          <t>View booking confirmation summary</t>
        </is>
      </c>
      <c r="D17" s="4" t="inlineStr">
        <is>
          <t>Booking created</t>
        </is>
      </c>
      <c r="E17" s="4" t="inlineStr">
        <is>
          <t>1. Open confirmation.html?id=X</t>
        </is>
      </c>
      <c r="F17" s="4" t="inlineStr">
        <is>
          <t>Booking ID: X</t>
        </is>
      </c>
      <c r="G17" s="4" t="inlineStr">
        <is>
          <t>Itinerary, vehicle, fare displayed</t>
        </is>
      </c>
      <c r="H17" s="4" t="inlineStr">
        <is>
          <t>All booking details rendered</t>
        </is>
      </c>
      <c r="I17" s="14" t="inlineStr">
        <is>
          <t>Pass</t>
        </is>
      </c>
      <c r="J17" s="4" t="inlineStr">
        <is>
          <t>-</t>
        </is>
      </c>
      <c r="K17" s="4" t="inlineStr">
        <is>
          <t>GET /api/bookings/{id} 200</t>
        </is>
      </c>
      <c r="L17" s="4" t="inlineStr">
        <is>
          <t>Customer journey</t>
        </is>
      </c>
    </row>
    <row r="18">
      <c r="A18" s="4" t="inlineStr">
        <is>
          <t>TC-MAN-017</t>
        </is>
      </c>
      <c r="B18" s="4" t="inlineStr">
        <is>
          <t>Confirmation</t>
        </is>
      </c>
      <c r="C18" s="4" t="inlineStr">
        <is>
          <t>Customer B attempts to view Customer A booking</t>
        </is>
      </c>
      <c r="D18" s="4" t="inlineStr">
        <is>
          <t>Customer B logged in</t>
        </is>
      </c>
      <c r="E18" s="4" t="inlineStr">
        <is>
          <t>1. Open confirmation with Customer A's ID</t>
        </is>
      </c>
      <c r="F18" s="4" t="inlineStr">
        <is>
          <t>Customer A ID</t>
        </is>
      </c>
      <c r="G18" s="4" t="inlineStr">
        <is>
          <t>HTTP 403 Forbidden Access Denied</t>
        </is>
      </c>
      <c r="H18" s="4" t="inlineStr">
        <is>
          <t>HTTP 403 Forbidden Access Denied</t>
        </is>
      </c>
      <c r="I18" s="14" t="inlineStr">
        <is>
          <t>Pass</t>
        </is>
      </c>
      <c r="J18" s="4" t="inlineStr">
        <is>
          <t>BUG-003</t>
        </is>
      </c>
      <c r="K18" s="4" t="inlineStr">
        <is>
          <t>Ownership check enforced</t>
        </is>
      </c>
      <c r="L18" s="4" t="inlineStr">
        <is>
          <t>IDOR security test</t>
        </is>
      </c>
    </row>
    <row r="19">
      <c r="A19" s="4" t="inlineStr">
        <is>
          <t>TC-MAN-018</t>
        </is>
      </c>
      <c r="B19" s="4" t="inlineStr">
        <is>
          <t>Payment</t>
        </is>
      </c>
      <c r="C19" s="4" t="inlineStr">
        <is>
          <t>Process payment for own booking</t>
        </is>
      </c>
      <c r="D19" s="4" t="inlineStr">
        <is>
          <t>Booking confirmed</t>
        </is>
      </c>
      <c r="E19" s="4" t="inlineStr">
        <is>
          <t>1. Choose UPI method
2. Submit payment</t>
        </is>
      </c>
      <c r="F19" s="4" t="inlineStr">
        <is>
          <t>Mode: UPI, Amount: Total</t>
        </is>
      </c>
      <c r="G19" s="4" t="inlineStr">
        <is>
          <t>Payment saved with status INITIATED</t>
        </is>
      </c>
      <c r="H19" s="4" t="inlineStr">
        <is>
          <t>Payment saved with status INITIATED</t>
        </is>
      </c>
      <c r="I19" s="14" t="inlineStr">
        <is>
          <t>Pass</t>
        </is>
      </c>
      <c r="J19" s="4" t="inlineStr">
        <is>
          <t>BUG-009</t>
        </is>
      </c>
      <c r="K19" s="4" t="inlineStr">
        <is>
          <t>Server sets INITIATED status</t>
        </is>
      </c>
      <c r="L19" s="4" t="inlineStr">
        <is>
          <t>Payment lifecycle</t>
        </is>
      </c>
    </row>
    <row r="20">
      <c r="A20" s="4" t="inlineStr">
        <is>
          <t>TC-MAN-019</t>
        </is>
      </c>
      <c r="B20" s="4" t="inlineStr">
        <is>
          <t>Payment</t>
        </is>
      </c>
      <c r="C20" s="4" t="inlineStr">
        <is>
          <t>Customer B attempts to pay for Customer A booking</t>
        </is>
      </c>
      <c r="D20" s="4" t="inlineStr">
        <is>
          <t>Customer B logged in</t>
        </is>
      </c>
      <c r="E20" s="4" t="inlineStr">
        <is>
          <t>1. Send POST /api/payments with Customer A booking</t>
        </is>
      </c>
      <c r="F20" s="4" t="inlineStr">
        <is>
          <t>Customer A bookingId</t>
        </is>
      </c>
      <c r="G20" s="4" t="inlineStr">
        <is>
          <t>HTTP 403 Forbidden Access Denied</t>
        </is>
      </c>
      <c r="H20" s="4" t="inlineStr">
        <is>
          <t>HTTP 403 Forbidden Access Denied</t>
        </is>
      </c>
      <c r="I20" s="14" t="inlineStr">
        <is>
          <t>Pass</t>
        </is>
      </c>
      <c r="J20" s="4" t="inlineStr">
        <is>
          <t>BUG-008</t>
        </is>
      </c>
      <c r="K20" s="4" t="inlineStr">
        <is>
          <t>UnauthorizedException caught</t>
        </is>
      </c>
      <c r="L20" s="4" t="inlineStr">
        <is>
          <t>Payment security test</t>
        </is>
      </c>
    </row>
    <row r="21">
      <c r="A21" s="4" t="inlineStr">
        <is>
          <t>TC-MAN-020</t>
        </is>
      </c>
      <c r="B21" s="4" t="inlineStr">
        <is>
          <t>My Bookings</t>
        </is>
      </c>
      <c r="C21" s="4" t="inlineStr">
        <is>
          <t>Customer views own trip history</t>
        </is>
      </c>
      <c r="D21" s="4" t="inlineStr">
        <is>
          <t>Logged in</t>
        </is>
      </c>
      <c r="E21" s="4" t="inlineStr">
        <is>
          <t>1. Open my-bookings.html</t>
        </is>
      </c>
      <c r="F21" s="4" t="inlineStr">
        <is>
          <t>-</t>
        </is>
      </c>
      <c r="G21" s="4" t="inlineStr">
        <is>
          <t>List of only current user's trips</t>
        </is>
      </c>
      <c r="H21" s="4" t="inlineStr">
        <is>
          <t>List of only current user's trips</t>
        </is>
      </c>
      <c r="I21" s="14" t="inlineStr">
        <is>
          <t>Pass</t>
        </is>
      </c>
      <c r="J21" s="4" t="inlineStr">
        <is>
          <t>BUG-002</t>
        </is>
      </c>
      <c r="K21" s="4" t="inlineStr">
        <is>
          <t>GET /api/bookings/my 200 OK</t>
        </is>
      </c>
      <c r="L21" s="4" t="inlineStr">
        <is>
          <t>Trip history</t>
        </is>
      </c>
    </row>
    <row r="22">
      <c r="A22" s="4" t="inlineStr">
        <is>
          <t>TC-MAN-021</t>
        </is>
      </c>
      <c r="B22" s="4" t="inlineStr">
        <is>
          <t>My Bookings</t>
        </is>
      </c>
      <c r="C22" s="4" t="inlineStr">
        <is>
          <t>Filter trips by status tabs</t>
        </is>
      </c>
      <c r="D22" s="4" t="inlineStr">
        <is>
          <t>Bookings loaded</t>
        </is>
      </c>
      <c r="E22" s="4" t="inlineStr">
        <is>
          <t>1. Click CONFIRMED tab
2. Click CANCELLED tab</t>
        </is>
      </c>
      <c r="F22" s="4" t="inlineStr">
        <is>
          <t>-</t>
        </is>
      </c>
      <c r="G22" s="4" t="inlineStr">
        <is>
          <t>Filtered view renders matching trips</t>
        </is>
      </c>
      <c r="H22" s="4" t="inlineStr">
        <is>
          <t>Filtered view renders matching trips</t>
        </is>
      </c>
      <c r="I22" s="14" t="inlineStr">
        <is>
          <t>Pass</t>
        </is>
      </c>
      <c r="J22" s="4" t="inlineStr">
        <is>
          <t>-</t>
        </is>
      </c>
      <c r="K22" s="4" t="inlineStr">
        <is>
          <t>Client-side tab filtering</t>
        </is>
      </c>
      <c r="L22" s="4" t="inlineStr">
        <is>
          <t>UI usability</t>
        </is>
      </c>
    </row>
    <row r="23">
      <c r="A23" s="4" t="inlineStr">
        <is>
          <t>TC-MAN-022</t>
        </is>
      </c>
      <c r="B23" s="4" t="inlineStr">
        <is>
          <t>My Bookings</t>
        </is>
      </c>
      <c r="C23" s="4" t="inlineStr">
        <is>
          <t>Cancel pending / confirmed booking</t>
        </is>
      </c>
      <c r="D23" s="4" t="inlineStr">
        <is>
          <t>Booking confirmed</t>
        </is>
      </c>
      <c r="E23" s="4" t="inlineStr">
        <is>
          <t>1. Click Cancel
2. Confirm modal</t>
        </is>
      </c>
      <c r="F23" s="4" t="inlineStr">
        <is>
          <t>Booking ID: X</t>
        </is>
      </c>
      <c r="G23" s="4" t="inlineStr">
        <is>
          <t>Status updated to CANCELLED</t>
        </is>
      </c>
      <c r="H23" s="4" t="inlineStr">
        <is>
          <t>Status updated to CANCELLED</t>
        </is>
      </c>
      <c r="I23" s="14" t="inlineStr">
        <is>
          <t>Pass</t>
        </is>
      </c>
      <c r="J23" s="4" t="inlineStr">
        <is>
          <t>-</t>
        </is>
      </c>
      <c r="K23" s="4" t="inlineStr">
        <is>
          <t>PUT /api/bookings/{id}/cancel 200</t>
        </is>
      </c>
      <c r="L23" s="4" t="inlineStr">
        <is>
          <t>Cancellation test</t>
        </is>
      </c>
    </row>
    <row r="24">
      <c r="A24" s="4" t="inlineStr">
        <is>
          <t>TC-MAN-023</t>
        </is>
      </c>
      <c r="B24" s="4" t="inlineStr">
        <is>
          <t>My Bookings</t>
        </is>
      </c>
      <c r="C24" s="4" t="inlineStr">
        <is>
          <t>Attempt to cancel already cancelled booking</t>
        </is>
      </c>
      <c r="D24" s="4" t="inlineStr">
        <is>
          <t>Booking cancelled</t>
        </is>
      </c>
      <c r="E24" s="4" t="inlineStr">
        <is>
          <t>1. Send cancel request again</t>
        </is>
      </c>
      <c r="F24" s="4" t="inlineStr">
        <is>
          <t>Booking ID: X</t>
        </is>
      </c>
      <c r="G24" s="4" t="inlineStr">
        <is>
          <t>HTTP 400 Bad Request error</t>
        </is>
      </c>
      <c r="H24" s="4" t="inlineStr">
        <is>
          <t>HTTP 400 Bad Request error</t>
        </is>
      </c>
      <c r="I24" s="14" t="inlineStr">
        <is>
          <t>Pass</t>
        </is>
      </c>
      <c r="J24" s="4" t="inlineStr">
        <is>
          <t>BUG-019</t>
        </is>
      </c>
      <c r="K24" s="4" t="inlineStr">
        <is>
          <t>InvalidBookingException caught</t>
        </is>
      </c>
      <c r="L24" s="4" t="inlineStr">
        <is>
          <t>State machine check</t>
        </is>
      </c>
    </row>
    <row r="25">
      <c r="A25" s="4" t="inlineStr">
        <is>
          <t>TC-MAN-024</t>
        </is>
      </c>
      <c r="B25" s="4" t="inlineStr">
        <is>
          <t>My Bookings</t>
        </is>
      </c>
      <c r="C25" s="4" t="inlineStr">
        <is>
          <t>Customer B attempts to cancel Customer A booking</t>
        </is>
      </c>
      <c r="D25" s="4" t="inlineStr">
        <is>
          <t>Customer B logged in</t>
        </is>
      </c>
      <c r="E25" s="4" t="inlineStr">
        <is>
          <t>1. Send cancel request for Customer A booking</t>
        </is>
      </c>
      <c r="F25" s="4" t="inlineStr">
        <is>
          <t>Customer A bookingId</t>
        </is>
      </c>
      <c r="G25" s="4" t="inlineStr">
        <is>
          <t>HTTP 403 Forbidden Access Denied</t>
        </is>
      </c>
      <c r="H25" s="4" t="inlineStr">
        <is>
          <t>HTTP 403 Forbidden Access Denied</t>
        </is>
      </c>
      <c r="I25" s="14" t="inlineStr">
        <is>
          <t>Pass</t>
        </is>
      </c>
      <c r="J25" s="4" t="inlineStr">
        <is>
          <t>BUG-003</t>
        </is>
      </c>
      <c r="K25" s="4" t="inlineStr">
        <is>
          <t>UnauthorizedException caught</t>
        </is>
      </c>
      <c r="L25" s="4" t="inlineStr">
        <is>
          <t>Cancellation IDOR</t>
        </is>
      </c>
    </row>
    <row r="26">
      <c r="A26" s="4" t="inlineStr">
        <is>
          <t>TC-MAN-025</t>
        </is>
      </c>
      <c r="B26" s="4" t="inlineStr">
        <is>
          <t>Admin</t>
        </is>
      </c>
      <c r="C26" s="4" t="inlineStr">
        <is>
          <t>Customer attempts to access admin stats</t>
        </is>
      </c>
      <c r="D26" s="4" t="inlineStr">
        <is>
          <t>Customer logged in</t>
        </is>
      </c>
      <c r="E26" s="4" t="inlineStr">
        <is>
          <t>1. Request GET /api/admin/stats</t>
        </is>
      </c>
      <c r="F26" s="4" t="inlineStr">
        <is>
          <t>-</t>
        </is>
      </c>
      <c r="G26" s="4" t="inlineStr">
        <is>
          <t>HTTP 403 Forbidden</t>
        </is>
      </c>
      <c r="H26" s="4" t="inlineStr">
        <is>
          <t>HTTP 403 Forbidden</t>
        </is>
      </c>
      <c r="I26" s="14" t="inlineStr">
        <is>
          <t>Pass</t>
        </is>
      </c>
      <c r="J26" s="4" t="inlineStr">
        <is>
          <t>-</t>
        </is>
      </c>
      <c r="K26" s="4" t="inlineStr">
        <is>
          <t>AccessDeniedException caught</t>
        </is>
      </c>
      <c r="L26" s="4" t="inlineStr">
        <is>
          <t>Role boundary</t>
        </is>
      </c>
    </row>
    <row r="27">
      <c r="A27" s="4" t="inlineStr">
        <is>
          <t>TC-MAN-026</t>
        </is>
      </c>
      <c r="B27" s="4" t="inlineStr">
        <is>
          <t>Admin</t>
        </is>
      </c>
      <c r="C27" s="4" t="inlineStr">
        <is>
          <t>Customer attempts to fetch all global bookings</t>
        </is>
      </c>
      <c r="D27" s="4" t="inlineStr">
        <is>
          <t>Customer logged in</t>
        </is>
      </c>
      <c r="E27" s="4" t="inlineStr">
        <is>
          <t>1. Request GET /api/bookings</t>
        </is>
      </c>
      <c r="F27" s="4" t="inlineStr">
        <is>
          <t>-</t>
        </is>
      </c>
      <c r="G27" s="4" t="inlineStr">
        <is>
          <t>HTTP 403 Forbidden</t>
        </is>
      </c>
      <c r="H27" s="4" t="inlineStr">
        <is>
          <t>HTTP 403 Forbidden</t>
        </is>
      </c>
      <c r="I27" s="14" t="inlineStr">
        <is>
          <t>Pass</t>
        </is>
      </c>
      <c r="J27" s="4" t="inlineStr">
        <is>
          <t>BUG-004</t>
        </is>
      </c>
      <c r="K27" s="4" t="inlineStr">
        <is>
          <t>@PreAuthorize ADMIN caught</t>
        </is>
      </c>
      <c r="L27" s="4" t="inlineStr">
        <is>
          <t>Role boundary</t>
        </is>
      </c>
    </row>
    <row r="28">
      <c r="A28" s="4" t="inlineStr">
        <is>
          <t>TC-MAN-027</t>
        </is>
      </c>
      <c r="B28" s="4" t="inlineStr">
        <is>
          <t>Admin</t>
        </is>
      </c>
      <c r="C28" s="4" t="inlineStr">
        <is>
          <t>Customer attempts to fetch all users</t>
        </is>
      </c>
      <c r="D28" s="4" t="inlineStr">
        <is>
          <t>Customer logged in</t>
        </is>
      </c>
      <c r="E28" s="4" t="inlineStr">
        <is>
          <t>1. Request GET /api/users</t>
        </is>
      </c>
      <c r="F28" s="4" t="inlineStr">
        <is>
          <t>-</t>
        </is>
      </c>
      <c r="G28" s="4" t="inlineStr">
        <is>
          <t>HTTP 403 Forbidden</t>
        </is>
      </c>
      <c r="H28" s="4" t="inlineStr">
        <is>
          <t>HTTP 403 Forbidden</t>
        </is>
      </c>
      <c r="I28" s="14" t="inlineStr">
        <is>
          <t>Pass</t>
        </is>
      </c>
      <c r="J28" s="4" t="inlineStr">
        <is>
          <t>BUG-005</t>
        </is>
      </c>
      <c r="K28" s="4" t="inlineStr">
        <is>
          <t>@PreAuthorize ADMIN caught</t>
        </is>
      </c>
      <c r="L28" s="4" t="inlineStr">
        <is>
          <t>Role boundary</t>
        </is>
      </c>
    </row>
    <row r="29">
      <c r="A29" s="4" t="inlineStr">
        <is>
          <t>TC-MAN-028</t>
        </is>
      </c>
      <c r="B29" s="4" t="inlineStr">
        <is>
          <t>Admin</t>
        </is>
      </c>
      <c r="C29" s="4" t="inlineStr">
        <is>
          <t>Admin dashboard statistics view</t>
        </is>
      </c>
      <c r="D29" s="4" t="inlineStr">
        <is>
          <t>Admin logged in</t>
        </is>
      </c>
      <c r="E29" s="4" t="inlineStr">
        <is>
          <t>1. Open admin/dashboard.html</t>
        </is>
      </c>
      <c r="F29" s="4" t="inlineStr">
        <is>
          <t>-</t>
        </is>
      </c>
      <c r="G29" s="4" t="inlineStr">
        <is>
          <t>Cars, bookings, users, revenue rendered</t>
        </is>
      </c>
      <c r="H29" s="4" t="inlineStr">
        <is>
          <t>All KPI metrics rendered</t>
        </is>
      </c>
      <c r="I29" s="14" t="inlineStr">
        <is>
          <t>Pass</t>
        </is>
      </c>
      <c r="J29" s="4" t="inlineStr">
        <is>
          <t>-</t>
        </is>
      </c>
      <c r="K29" s="4" t="inlineStr">
        <is>
          <t>GET /api/admin/stats 200 OK</t>
        </is>
      </c>
      <c r="L29" s="4" t="inlineStr">
        <is>
          <t>Admin feature</t>
        </is>
      </c>
    </row>
    <row r="30">
      <c r="A30" s="4" t="inlineStr">
        <is>
          <t>TC-MAN-029</t>
        </is>
      </c>
      <c r="B30" s="4" t="inlineStr">
        <is>
          <t>Session</t>
        </is>
      </c>
      <c r="C30" s="4" t="inlineStr">
        <is>
          <t>Direct access to protected page without token</t>
        </is>
      </c>
      <c r="D30" s="4" t="inlineStr">
        <is>
          <t>Unauthenticated</t>
        </is>
      </c>
      <c r="E30" s="4" t="inlineStr">
        <is>
          <t>1. Directly navigate to my-bookings.html</t>
        </is>
      </c>
      <c r="F30" s="4" t="inlineStr">
        <is>
          <t>-</t>
        </is>
      </c>
      <c r="G30" s="4" t="inlineStr">
        <is>
          <t>Redirect to login.html with message</t>
        </is>
      </c>
      <c r="H30" s="4" t="inlineStr">
        <is>
          <t>Redirect to login.html with message</t>
        </is>
      </c>
      <c r="I30" s="14" t="inlineStr">
        <is>
          <t>Pass</t>
        </is>
      </c>
      <c r="J30" s="4" t="inlineStr">
        <is>
          <t>-</t>
        </is>
      </c>
      <c r="K30" s="4" t="inlineStr">
        <is>
          <t>auth.isLoggedIn() guard</t>
        </is>
      </c>
      <c r="L30" s="4" t="inlineStr">
        <is>
          <t>Frontend routing</t>
        </is>
      </c>
    </row>
    <row r="31">
      <c r="A31" s="4" t="inlineStr">
        <is>
          <t>TC-MAN-030</t>
        </is>
      </c>
      <c r="B31" s="4" t="inlineStr">
        <is>
          <t>Session</t>
        </is>
      </c>
      <c r="C31" s="4" t="inlineStr">
        <is>
          <t>401 session expiry redirect from admin page</t>
        </is>
      </c>
      <c r="D31" s="4" t="inlineStr">
        <is>
          <t>Expired token</t>
        </is>
      </c>
      <c r="E31" s="4" t="inlineStr">
        <is>
          <t>1. Trigger 401 on admin page</t>
        </is>
      </c>
      <c r="F31" s="4" t="inlineStr">
        <is>
          <t>-</t>
        </is>
      </c>
      <c r="G31" s="4" t="inlineStr">
        <is>
          <t>Redirects to absolute admin-login.html</t>
        </is>
      </c>
      <c r="H31" s="4" t="inlineStr">
        <is>
          <t>Redirects to absolute admin-login.html</t>
        </is>
      </c>
      <c r="I31" s="14" t="inlineStr">
        <is>
          <t>Pass</t>
        </is>
      </c>
      <c r="J31" s="4" t="inlineStr">
        <is>
          <t>BUG-018</t>
        </is>
      </c>
      <c r="K31" s="4" t="inlineStr">
        <is>
          <t>window.location.origin used</t>
        </is>
      </c>
      <c r="L31" s="4" t="inlineStr">
        <is>
          <t>Navigation bug fix</t>
        </is>
      </c>
    </row>
  </sheetData>
  <autoFilter ref="A1:L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23" customWidth="1" min="4" max="4"/>
    <col width="17" customWidth="1" min="5" max="5"/>
    <col width="45" customWidth="1" min="6" max="6"/>
    <col width="45" customWidth="1" min="7" max="7"/>
    <col width="12" customWidth="1" min="8" max="8"/>
    <col width="17" customWidth="1" min="9" max="9"/>
    <col width="39" customWidth="1" min="10" max="10"/>
    <col width="31" customWidth="1" min="11" max="11"/>
  </cols>
  <sheetData>
    <row r="1">
      <c r="A1" s="11" t="inlineStr">
        <is>
          <t>Test ID</t>
        </is>
      </c>
      <c r="B1" s="11" t="inlineStr">
        <is>
          <t>Test Suite</t>
        </is>
      </c>
      <c r="C1" s="11" t="inlineStr">
        <is>
          <t>Test Name</t>
        </is>
      </c>
      <c r="D1" s="11" t="inlineStr">
        <is>
          <t>Test Type</t>
        </is>
      </c>
      <c r="E1" s="11" t="inlineStr">
        <is>
          <t>Execution Date</t>
        </is>
      </c>
      <c r="F1" s="11" t="inlineStr">
        <is>
          <t>Expected Result</t>
        </is>
      </c>
      <c r="G1" s="11" t="inlineStr">
        <is>
          <t>Actual Result</t>
        </is>
      </c>
      <c r="H1" s="11" t="inlineStr">
        <is>
          <t>Status</t>
        </is>
      </c>
      <c r="I1" s="11" t="inlineStr">
        <is>
          <t>Related Bug ID</t>
        </is>
      </c>
      <c r="J1" s="11" t="inlineStr">
        <is>
          <t>Evidence</t>
        </is>
      </c>
      <c r="K1" s="11" t="inlineStr">
        <is>
          <t>Remarks</t>
        </is>
      </c>
    </row>
    <row r="2">
      <c r="A2" s="4" t="inlineStr">
        <is>
          <t>AUT-001</t>
        </is>
      </c>
      <c r="B2" s="4" t="inlineStr">
        <is>
          <t>JwtServiceTest</t>
        </is>
      </c>
      <c r="C2" s="4" t="inlineStr">
        <is>
          <t>testGenerateAndParseToken</t>
        </is>
      </c>
      <c r="D2" s="4" t="inlineStr">
        <is>
          <t>Unit / Security</t>
        </is>
      </c>
      <c r="E2" s="4" t="inlineStr">
        <is>
          <t>2026-10-03</t>
        </is>
      </c>
      <c r="F2" s="4" t="inlineStr">
        <is>
          <t>Valid 3-part JWT generated and parsed</t>
        </is>
      </c>
      <c r="G2" s="4" t="inlineStr">
        <is>
          <t>Token parsed with exact subject; validated</t>
        </is>
      </c>
      <c r="H2" s="14" t="inlineStr">
        <is>
          <t>Passed</t>
        </is>
      </c>
      <c r="I2" s="4" t="inlineStr">
        <is>
          <t>-</t>
        </is>
      </c>
      <c r="J2" s="4" t="inlineStr">
        <is>
          <t>BUILD SUCCESS in 0.174s</t>
        </is>
      </c>
      <c r="K2" s="4" t="inlineStr">
        <is>
          <t>JJWT signing &amp; verification</t>
        </is>
      </c>
    </row>
    <row r="3">
      <c r="A3" s="4" t="inlineStr">
        <is>
          <t>AUT-002</t>
        </is>
      </c>
      <c r="B3" s="4" t="inlineStr">
        <is>
          <t>JwtServiceTest</t>
        </is>
      </c>
      <c r="C3" s="4" t="inlineStr">
        <is>
          <t>testValidateToken_TamperedToken_ReturnsFalse</t>
        </is>
      </c>
      <c r="D3" s="4" t="inlineStr">
        <is>
          <t>Unit / Security</t>
        </is>
      </c>
      <c r="E3" s="4" t="inlineStr">
        <is>
          <t>2026-10-03</t>
        </is>
      </c>
      <c r="F3" s="4" t="inlineStr">
        <is>
          <t>Tampered signature fails validation</t>
        </is>
      </c>
      <c r="G3" s="4" t="inlineStr">
        <is>
          <t>Signature validation failed safely (false)</t>
        </is>
      </c>
      <c r="H3" s="14" t="inlineStr">
        <is>
          <t>Passed</t>
        </is>
      </c>
      <c r="I3" s="4" t="inlineStr">
        <is>
          <t>-</t>
        </is>
      </c>
      <c r="J3" s="4" t="inlineStr">
        <is>
          <t>SignatureException caught</t>
        </is>
      </c>
      <c r="K3" s="4" t="inlineStr">
        <is>
          <t>Cryptographic verification</t>
        </is>
      </c>
    </row>
    <row r="4">
      <c r="A4" s="4" t="inlineStr">
        <is>
          <t>AUT-003</t>
        </is>
      </c>
      <c r="B4" s="4" t="inlineStr">
        <is>
          <t>JwtServiceTest</t>
        </is>
      </c>
      <c r="C4" s="4" t="inlineStr">
        <is>
          <t>testValidateToken_MalformedString_ReturnsFalse</t>
        </is>
      </c>
      <c r="D4" s="4" t="inlineStr">
        <is>
          <t>Unit / Security</t>
        </is>
      </c>
      <c r="E4" s="4" t="inlineStr">
        <is>
          <t>2026-10-03</t>
        </is>
      </c>
      <c r="F4" s="4" t="inlineStr">
        <is>
          <t>Garbage string returns false</t>
        </is>
      </c>
      <c r="G4" s="4" t="inlineStr">
        <is>
          <t>Returned false cleanly without uncaught crash</t>
        </is>
      </c>
      <c r="H4" s="14" t="inlineStr">
        <is>
          <t>Passed</t>
        </is>
      </c>
      <c r="I4" s="4" t="inlineStr">
        <is>
          <t>-</t>
        </is>
      </c>
      <c r="J4" s="4" t="inlineStr">
        <is>
          <t>MalformedJwtException caught</t>
        </is>
      </c>
      <c r="K4" s="4" t="inlineStr">
        <is>
          <t>Input robustness</t>
        </is>
      </c>
    </row>
    <row r="5">
      <c r="A5" s="4" t="inlineStr">
        <is>
          <t>AUT-004</t>
        </is>
      </c>
      <c r="B5" s="4" t="inlineStr">
        <is>
          <t>AuthServiceTest</t>
        </is>
      </c>
      <c r="C5" s="4" t="inlineStr">
        <is>
          <t>testRegister_Success</t>
        </is>
      </c>
      <c r="D5" s="4" t="inlineStr">
        <is>
          <t>Unit</t>
        </is>
      </c>
      <c r="E5" s="4" t="inlineStr">
        <is>
          <t>2026-10-03</t>
        </is>
      </c>
      <c r="F5" s="4" t="inlineStr">
        <is>
          <t>New user registered and JWT token issued</t>
        </is>
      </c>
      <c r="G5" s="4" t="inlineStr">
        <is>
          <t>User saved with BCrypt hash; JWT issued</t>
        </is>
      </c>
      <c r="H5" s="14" t="inlineStr">
        <is>
          <t>Passed</t>
        </is>
      </c>
      <c r="I5" s="4" t="inlineStr">
        <is>
          <t>-</t>
        </is>
      </c>
      <c r="J5" s="4" t="inlineStr">
        <is>
          <t>LoginResponseDTO verified</t>
        </is>
      </c>
      <c r="K5" s="4" t="inlineStr">
        <is>
          <t>Registration happy path</t>
        </is>
      </c>
    </row>
    <row r="6">
      <c r="A6" s="4" t="inlineStr">
        <is>
          <t>AUT-005</t>
        </is>
      </c>
      <c r="B6" s="4" t="inlineStr">
        <is>
          <t>AuthServiceTest</t>
        </is>
      </c>
      <c r="C6" s="4" t="inlineStr">
        <is>
          <t>testRegister_DuplicateEmail_ThrowsDuplicateResource</t>
        </is>
      </c>
      <c r="D6" s="4" t="inlineStr">
        <is>
          <t>Unit / Negative</t>
        </is>
      </c>
      <c r="E6" s="4" t="inlineStr">
        <is>
          <t>2026-10-03</t>
        </is>
      </c>
      <c r="F6" s="4" t="inlineStr">
        <is>
          <t>Duplicate email throws DuplicateResourceException</t>
        </is>
      </c>
      <c r="G6" s="4" t="inlineStr">
        <is>
          <t>DuplicateResourceException thrown and verified</t>
        </is>
      </c>
      <c r="H6" s="14" t="inlineStr">
        <is>
          <t>Passed</t>
        </is>
      </c>
      <c r="I6" s="4" t="inlineStr">
        <is>
          <t>-</t>
        </is>
      </c>
      <c r="J6" s="4" t="inlineStr">
        <is>
          <t>ExistsByEmail check verified</t>
        </is>
      </c>
      <c r="K6" s="4" t="inlineStr">
        <is>
          <t>Data integrity</t>
        </is>
      </c>
    </row>
    <row r="7">
      <c r="A7" s="4" t="inlineStr">
        <is>
          <t>AUT-006</t>
        </is>
      </c>
      <c r="B7" s="4" t="inlineStr">
        <is>
          <t>AuthServiceTest</t>
        </is>
      </c>
      <c r="C7" s="4" t="inlineStr">
        <is>
          <t>testRegister_DuplicatePhone_ThrowsDuplicateResource</t>
        </is>
      </c>
      <c r="D7" s="4" t="inlineStr">
        <is>
          <t>Unit / Negative</t>
        </is>
      </c>
      <c r="E7" s="4" t="inlineStr">
        <is>
          <t>2026-10-03</t>
        </is>
      </c>
      <c r="F7" s="4" t="inlineStr">
        <is>
          <t>Duplicate phone throws DuplicateResourceException</t>
        </is>
      </c>
      <c r="G7" s="4" t="inlineStr">
        <is>
          <t>DuplicateResourceException thrown and verified</t>
        </is>
      </c>
      <c r="H7" s="14" t="inlineStr">
        <is>
          <t>Passed</t>
        </is>
      </c>
      <c r="I7" s="4" t="inlineStr">
        <is>
          <t>-</t>
        </is>
      </c>
      <c r="J7" s="4" t="inlineStr">
        <is>
          <t>ExistsByPhone check verified</t>
        </is>
      </c>
      <c r="K7" s="4" t="inlineStr">
        <is>
          <t>Data integrity</t>
        </is>
      </c>
    </row>
    <row r="8">
      <c r="A8" s="4" t="inlineStr">
        <is>
          <t>AUT-007</t>
        </is>
      </c>
      <c r="B8" s="4" t="inlineStr">
        <is>
          <t>AuthServiceTest</t>
        </is>
      </c>
      <c r="C8" s="4" t="inlineStr">
        <is>
          <t>testLogin_Success</t>
        </is>
      </c>
      <c r="D8" s="4" t="inlineStr">
        <is>
          <t>Unit</t>
        </is>
      </c>
      <c r="E8" s="4" t="inlineStr">
        <is>
          <t>2026-10-03</t>
        </is>
      </c>
      <c r="F8" s="4" t="inlineStr">
        <is>
          <t>Valid credentials authenticate and return token</t>
        </is>
      </c>
      <c r="G8" s="4" t="inlineStr">
        <is>
          <t>Token issued with Bearer type</t>
        </is>
      </c>
      <c r="H8" s="14" t="inlineStr">
        <is>
          <t>Passed</t>
        </is>
      </c>
      <c r="I8" s="4" t="inlineStr">
        <is>
          <t>-</t>
        </is>
      </c>
      <c r="J8" s="4" t="inlineStr">
        <is>
          <t>AuthenticationManager verified</t>
        </is>
      </c>
      <c r="K8" s="4" t="inlineStr">
        <is>
          <t>Login happy path</t>
        </is>
      </c>
    </row>
    <row r="9">
      <c r="A9" s="4" t="inlineStr">
        <is>
          <t>AUT-008</t>
        </is>
      </c>
      <c r="B9" s="4" t="inlineStr">
        <is>
          <t>BookingServiceTest</t>
        </is>
      </c>
      <c r="C9" s="4" t="inlineStr">
        <is>
          <t>testCreateBooking_PastDate_ThrowsInvalidBookingException</t>
        </is>
      </c>
      <c r="D9" s="4" t="inlineStr">
        <is>
          <t>Unit / Security</t>
        </is>
      </c>
      <c r="E9" s="4" t="inlineStr">
        <is>
          <t>2026-10-03</t>
        </is>
      </c>
      <c r="F9" s="4" t="inlineStr">
        <is>
          <t>Past pickup date rejected with InvalidBookingException</t>
        </is>
      </c>
      <c r="G9" s="4" t="inlineStr">
        <is>
          <t>InvalidBookingException thrown: 'past'</t>
        </is>
      </c>
      <c r="H9" s="14" t="inlineStr">
        <is>
          <t>Passed</t>
        </is>
      </c>
      <c r="I9" s="4" t="inlineStr">
        <is>
          <t>BUG-012</t>
        </is>
      </c>
      <c r="J9" s="4" t="inlineStr">
        <is>
          <t>AssertThrows InvalidBookingException</t>
        </is>
      </c>
      <c r="K9" s="4" t="inlineStr">
        <is>
          <t>Temporal validation fix</t>
        </is>
      </c>
    </row>
    <row r="10">
      <c r="A10" s="4" t="inlineStr">
        <is>
          <t>AUT-009</t>
        </is>
      </c>
      <c r="B10" s="4" t="inlineStr">
        <is>
          <t>BookingServiceTest</t>
        </is>
      </c>
      <c r="C10" s="4" t="inlineStr">
        <is>
          <t>testCreateBooking_CarAlreadyBooked_ThrowsCarUnavailable</t>
        </is>
      </c>
      <c r="D10" s="4" t="inlineStr">
        <is>
          <t>Unit / Concurrency</t>
        </is>
      </c>
      <c r="E10" s="4" t="inlineStr">
        <is>
          <t>2026-10-03</t>
        </is>
      </c>
      <c r="F10" s="4" t="inlineStr">
        <is>
          <t>Double booking rejected with CarUnavailableException</t>
        </is>
      </c>
      <c r="G10" s="4" t="inlineStr">
        <is>
          <t>CarUnavailableException thrown cleanly</t>
        </is>
      </c>
      <c r="H10" s="14" t="inlineStr">
        <is>
          <t>Passed</t>
        </is>
      </c>
      <c r="I10" s="4" t="inlineStr">
        <is>
          <t>BUG-010</t>
        </is>
      </c>
      <c r="J10" s="4" t="inlineStr">
        <is>
          <t>existsByCarId query verified</t>
        </is>
      </c>
      <c r="K10" s="4" t="inlineStr">
        <is>
          <t>Resource conflict check</t>
        </is>
      </c>
    </row>
    <row r="11">
      <c r="A11" s="4" t="inlineStr">
        <is>
          <t>AUT-010</t>
        </is>
      </c>
      <c r="B11" s="4" t="inlineStr">
        <is>
          <t>BookingServiceTest</t>
        </is>
      </c>
      <c r="C11" s="4" t="inlineStr">
        <is>
          <t>testGetBookingById_WrongUser_ThrowsUnauthorized</t>
        </is>
      </c>
      <c r="D11" s="4" t="inlineStr">
        <is>
          <t>Unit / Security</t>
        </is>
      </c>
      <c r="E11" s="4" t="inlineStr">
        <is>
          <t>2026-10-03</t>
        </is>
      </c>
      <c r="F11" s="4" t="inlineStr">
        <is>
          <t>Unauthorized customer rejected with UnauthorizedException</t>
        </is>
      </c>
      <c r="G11" s="4" t="inlineStr">
        <is>
          <t>UnauthorizedException thrown: 'Access denied'</t>
        </is>
      </c>
      <c r="H11" s="14" t="inlineStr">
        <is>
          <t>Passed</t>
        </is>
      </c>
      <c r="I11" s="4" t="inlineStr">
        <is>
          <t>BUG-003</t>
        </is>
      </c>
      <c r="J11" s="4" t="inlineStr">
        <is>
          <t>Caller ownership check verified</t>
        </is>
      </c>
      <c r="K11" s="4" t="inlineStr">
        <is>
          <t>IDOR fix verification</t>
        </is>
      </c>
    </row>
    <row r="12">
      <c r="A12" s="4" t="inlineStr">
        <is>
          <t>AUT-011</t>
        </is>
      </c>
      <c r="B12" s="4" t="inlineStr">
        <is>
          <t>BookingServiceTest</t>
        </is>
      </c>
      <c r="C12" s="4" t="inlineStr">
        <is>
          <t>testCancelBooking_AlreadyCompleted_ThrowsInvalidBookingException</t>
        </is>
      </c>
      <c r="D12" s="4" t="inlineStr">
        <is>
          <t>Unit / State</t>
        </is>
      </c>
      <c r="E12" s="4" t="inlineStr">
        <is>
          <t>2026-10-03</t>
        </is>
      </c>
      <c r="F12" s="4" t="inlineStr">
        <is>
          <t>Cancelling completed booking throws InvalidBookingException</t>
        </is>
      </c>
      <c r="G12" s="4" t="inlineStr">
        <is>
          <t>InvalidBookingException thrown: 'completed'</t>
        </is>
      </c>
      <c r="H12" s="14" t="inlineStr">
        <is>
          <t>Passed</t>
        </is>
      </c>
      <c r="I12" s="4" t="inlineStr">
        <is>
          <t>BUG-019</t>
        </is>
      </c>
      <c r="J12" s="4" t="inlineStr">
        <is>
          <t>State machine check verified</t>
        </is>
      </c>
      <c r="K12" s="4" t="inlineStr">
        <is>
          <t>Business rule enforcement</t>
        </is>
      </c>
    </row>
    <row r="13">
      <c r="A13" s="4" t="inlineStr">
        <is>
          <t>AUT-012</t>
        </is>
      </c>
      <c r="B13" s="4" t="inlineStr">
        <is>
          <t>BookingServiceTest</t>
        </is>
      </c>
      <c r="C13" s="4" t="inlineStr">
        <is>
          <t>testCancelBooking_AlreadyCancelled_ThrowsInvalidBookingException</t>
        </is>
      </c>
      <c r="D13" s="4" t="inlineStr">
        <is>
          <t>Unit / State</t>
        </is>
      </c>
      <c r="E13" s="4" t="inlineStr">
        <is>
          <t>2026-10-03</t>
        </is>
      </c>
      <c r="F13" s="4" t="inlineStr">
        <is>
          <t>Cancelling cancelled booking throws InvalidBookingException</t>
        </is>
      </c>
      <c r="G13" s="4" t="inlineStr">
        <is>
          <t>InvalidBookingException thrown: 'already cancelled'</t>
        </is>
      </c>
      <c r="H13" s="14" t="inlineStr">
        <is>
          <t>Passed</t>
        </is>
      </c>
      <c r="I13" s="4" t="inlineStr">
        <is>
          <t>BUG-019</t>
        </is>
      </c>
      <c r="J13" s="4" t="inlineStr">
        <is>
          <t>Double-cancel check verified</t>
        </is>
      </c>
      <c r="K13" s="4" t="inlineStr">
        <is>
          <t>Idempotency check</t>
        </is>
      </c>
    </row>
    <row r="14">
      <c r="A14" s="4" t="inlineStr">
        <is>
          <t>AUT-013</t>
        </is>
      </c>
      <c r="B14" s="4" t="inlineStr">
        <is>
          <t>BookingServiceTest</t>
        </is>
      </c>
      <c r="C14" s="4" t="inlineStr">
        <is>
          <t>testCreateBooking_Success</t>
        </is>
      </c>
      <c r="D14" s="4" t="inlineStr">
        <is>
          <t>Unit</t>
        </is>
      </c>
      <c r="E14" s="4" t="inlineStr">
        <is>
          <t>2026-10-03</t>
        </is>
      </c>
      <c r="F14" s="4" t="inlineStr">
        <is>
          <t>Valid booking created with unique KM- prefix</t>
        </is>
      </c>
      <c r="G14" s="4" t="inlineStr">
        <is>
          <t>Booking saved with CONFIRMED status and KM- number</t>
        </is>
      </c>
      <c r="H14" s="14" t="inlineStr">
        <is>
          <t>Passed</t>
        </is>
      </c>
      <c r="I14" s="4" t="inlineStr">
        <is>
          <t>BUG-013</t>
        </is>
      </c>
      <c r="J14" s="4" t="inlineStr">
        <is>
          <t>UUID suffix generated</t>
        </is>
      </c>
      <c r="K14" s="4" t="inlineStr">
        <is>
          <t>Booking happy path</t>
        </is>
      </c>
    </row>
    <row r="15">
      <c r="A15" s="4" t="inlineStr">
        <is>
          <t>AUT-014</t>
        </is>
      </c>
      <c r="B15" s="4" t="inlineStr">
        <is>
          <t>FareCalculationServiceTest</t>
        </is>
      </c>
      <c r="C15" s="4" t="inlineStr">
        <is>
          <t>testCalculateTotalFare_OneWay</t>
        </is>
      </c>
      <c r="D15" s="4" t="inlineStr">
        <is>
          <t>Unit</t>
        </is>
      </c>
      <c r="E15" s="4" t="inlineStr">
        <is>
          <t>2026-10-03</t>
        </is>
      </c>
      <c r="F15" s="4" t="inlineStr">
        <is>
          <t>100km * 1.0 * 15 + 500 = 2000.00</t>
        </is>
      </c>
      <c r="G15" s="4" t="inlineStr">
        <is>
          <t>Calculated exact BigDecimal 2000.00</t>
        </is>
      </c>
      <c r="H15" s="14" t="inlineStr">
        <is>
          <t>Passed</t>
        </is>
      </c>
      <c r="I15" s="4" t="inlineStr">
        <is>
          <t>-</t>
        </is>
      </c>
      <c r="J15" s="4" t="inlineStr">
        <is>
          <t>Fare verified</t>
        </is>
      </c>
      <c r="K15" s="4" t="inlineStr">
        <is>
          <t>Pricing formula test</t>
        </is>
      </c>
    </row>
    <row r="16">
      <c r="A16" s="4" t="inlineStr">
        <is>
          <t>AUT-015</t>
        </is>
      </c>
      <c r="B16" s="4" t="inlineStr">
        <is>
          <t>FareCalculationServiceTest</t>
        </is>
      </c>
      <c r="C16" s="4" t="inlineStr">
        <is>
          <t>testCalculateTotalFare_RoundTrip</t>
        </is>
      </c>
      <c r="D16" s="4" t="inlineStr">
        <is>
          <t>Unit</t>
        </is>
      </c>
      <c r="E16" s="4" t="inlineStr">
        <is>
          <t>2026-10-03</t>
        </is>
      </c>
      <c r="F16" s="4" t="inlineStr">
        <is>
          <t>100km * 2.0 * 15 + 500 = 3500.00</t>
        </is>
      </c>
      <c r="G16" s="4" t="inlineStr">
        <is>
          <t>Calculated exact BigDecimal 3500.00</t>
        </is>
      </c>
      <c r="H16" s="14" t="inlineStr">
        <is>
          <t>Passed</t>
        </is>
      </c>
      <c r="I16" s="4" t="inlineStr">
        <is>
          <t>-</t>
        </is>
      </c>
      <c r="J16" s="4" t="inlineStr">
        <is>
          <t>Fare verified</t>
        </is>
      </c>
      <c r="K16" s="4" t="inlineStr">
        <is>
          <t>Pricing formula test</t>
        </is>
      </c>
    </row>
    <row r="17">
      <c r="A17" s="4" t="inlineStr">
        <is>
          <t>AUT-016</t>
        </is>
      </c>
      <c r="B17" s="4" t="inlineStr">
        <is>
          <t>FareCalculationServiceTest</t>
        </is>
      </c>
      <c r="C17" s="4" t="inlineStr">
        <is>
          <t>testEstimateFare</t>
        </is>
      </c>
      <c r="D17" s="4" t="inlineStr">
        <is>
          <t>Unit</t>
        </is>
      </c>
      <c r="E17" s="4" t="inlineStr">
        <is>
          <t>2026-10-03</t>
        </is>
      </c>
      <c r="F17" s="4" t="inlineStr">
        <is>
          <t>Breakdown DTO populated accurately</t>
        </is>
      </c>
      <c r="G17" s="4" t="inlineStr">
        <is>
          <t>Base fare 600.00, Total 1100.00</t>
        </is>
      </c>
      <c r="H17" s="14" t="inlineStr">
        <is>
          <t>Passed</t>
        </is>
      </c>
      <c r="I17" s="4" t="inlineStr">
        <is>
          <t>-</t>
        </is>
      </c>
      <c r="J17" s="4" t="inlineStr">
        <is>
          <t>FareResponseDTO verified</t>
        </is>
      </c>
      <c r="K17" s="4" t="inlineStr">
        <is>
          <t>Breakdown inspection</t>
        </is>
      </c>
    </row>
    <row r="18">
      <c r="A18" s="4" t="inlineStr">
        <is>
          <t>AUT-017</t>
        </is>
      </c>
      <c r="B18" s="4" t="inlineStr">
        <is>
          <t>FareCalculationServiceTest</t>
        </is>
      </c>
      <c r="C18" s="4" t="inlineStr">
        <is>
          <t>testNullTripTypeFallback</t>
        </is>
      </c>
      <c r="D18" s="4" t="inlineStr">
        <is>
          <t>Unit / Boundary</t>
        </is>
      </c>
      <c r="E18" s="4" t="inlineStr">
        <is>
          <t>2026-10-03</t>
        </is>
      </c>
      <c r="F18" s="4" t="inlineStr">
        <is>
          <t>Null trip type safely defaults to 1.0x</t>
        </is>
      </c>
      <c r="G18" s="4" t="inlineStr">
        <is>
          <t>Returned 1.0x without NullPointerException</t>
        </is>
      </c>
      <c r="H18" s="14" t="inlineStr">
        <is>
          <t>Passed</t>
        </is>
      </c>
      <c r="I18" s="4" t="inlineStr">
        <is>
          <t>-</t>
        </is>
      </c>
      <c r="J18" s="4" t="inlineStr">
        <is>
          <t>Fallback verified</t>
        </is>
      </c>
      <c r="K18" s="4" t="inlineStr">
        <is>
          <t>Defensive coding</t>
        </is>
      </c>
    </row>
    <row r="19">
      <c r="A19" s="4" t="inlineStr">
        <is>
          <t>AUT-018</t>
        </is>
      </c>
      <c r="B19" s="4" t="inlineStr">
        <is>
          <t>PaymentServiceTest</t>
        </is>
      </c>
      <c r="C19" s="4" t="inlineStr">
        <is>
          <t>testProcessPayment_CustomerBPayForCustomerABooking_ThrowsUnauthorized</t>
        </is>
      </c>
      <c r="D19" s="4" t="inlineStr">
        <is>
          <t>Unit / Security</t>
        </is>
      </c>
      <c r="E19" s="4" t="inlineStr">
        <is>
          <t>2026-10-03</t>
        </is>
      </c>
      <c r="F19" s="4" t="inlineStr">
        <is>
          <t>Paying for another user's booking rejected</t>
        </is>
      </c>
      <c r="G19" s="4" t="inlineStr">
        <is>
          <t>UnauthorizedException thrown: 'Access denied'</t>
        </is>
      </c>
      <c r="H19" s="14" t="inlineStr">
        <is>
          <t>Passed</t>
        </is>
      </c>
      <c r="I19" s="4" t="inlineStr">
        <is>
          <t>BUG-008</t>
        </is>
      </c>
      <c r="J19" s="4" t="inlineStr">
        <is>
          <t>AssertThrows UnauthorizedException</t>
        </is>
      </c>
      <c r="K19" s="4" t="inlineStr">
        <is>
          <t>Payment IDOR check</t>
        </is>
      </c>
    </row>
    <row r="20">
      <c r="A20" s="4" t="inlineStr">
        <is>
          <t>AUT-019</t>
        </is>
      </c>
      <c r="B20" s="4" t="inlineStr">
        <is>
          <t>PaymentServiceTest</t>
        </is>
      </c>
      <c r="C20" s="4" t="inlineStr">
        <is>
          <t>testProcessPayment_IgnoresClientPaymentStatus_ForcesInitiated</t>
        </is>
      </c>
      <c r="D20" s="4" t="inlineStr">
        <is>
          <t>Unit / Security</t>
        </is>
      </c>
      <c r="E20" s="4" t="inlineStr">
        <is>
          <t>2026-10-03</t>
        </is>
      </c>
      <c r="F20" s="4" t="inlineStr">
        <is>
          <t>Backend forces INITIATED status ignoring client SUCCESSFUL</t>
        </is>
      </c>
      <c r="G20" s="4" t="inlineStr">
        <is>
          <t>Payment persisted with status INITIATED</t>
        </is>
      </c>
      <c r="H20" s="14" t="inlineStr">
        <is>
          <t>Passed</t>
        </is>
      </c>
      <c r="I20" s="4" t="inlineStr">
        <is>
          <t>BUG-009</t>
        </is>
      </c>
      <c r="J20" s="4" t="inlineStr">
        <is>
          <t>Status tampering prevented</t>
        </is>
      </c>
      <c r="K20" s="4" t="inlineStr">
        <is>
          <t>Status tampering fix</t>
        </is>
      </c>
    </row>
    <row r="21">
      <c r="A21" s="4" t="inlineStr">
        <is>
          <t>AUT-020</t>
        </is>
      </c>
      <c r="B21" s="4" t="inlineStr">
        <is>
          <t>PaymentServiceTest</t>
        </is>
      </c>
      <c r="C21" s="4" t="inlineStr">
        <is>
          <t>testGetPaymentById_UnauthorizedCustomer_ThrowsUnauthorized</t>
        </is>
      </c>
      <c r="D21" s="4" t="inlineStr">
        <is>
          <t>Unit / Security</t>
        </is>
      </c>
      <c r="E21" s="4" t="inlineStr">
        <is>
          <t>2026-10-03</t>
        </is>
      </c>
      <c r="F21" s="4" t="inlineStr">
        <is>
          <t>Unauthorized payment inspection rejected</t>
        </is>
      </c>
      <c r="G21" s="4" t="inlineStr">
        <is>
          <t>UnauthorizedException thrown: 'Access denied'</t>
        </is>
      </c>
      <c r="H21" s="14" t="inlineStr">
        <is>
          <t>Passed</t>
        </is>
      </c>
      <c r="I21" s="4" t="inlineStr">
        <is>
          <t>BUG-007</t>
        </is>
      </c>
      <c r="J21" s="4" t="inlineStr">
        <is>
          <t>Payment owner check verified</t>
        </is>
      </c>
      <c r="K21" s="4" t="inlineStr">
        <is>
          <t>Payment IDOR fix</t>
        </is>
      </c>
    </row>
    <row r="22">
      <c r="A22" s="4" t="inlineStr">
        <is>
          <t>AUT-021</t>
        </is>
      </c>
      <c r="B22" s="4" t="inlineStr">
        <is>
          <t>UserServiceTest</t>
        </is>
      </c>
      <c r="C22" s="4" t="inlineStr">
        <is>
          <t>testGetUserById_UnauthorizedCustomer_ThrowsUnauthorized</t>
        </is>
      </c>
      <c r="D22" s="4" t="inlineStr">
        <is>
          <t>Unit / Security</t>
        </is>
      </c>
      <c r="E22" s="4" t="inlineStr">
        <is>
          <t>2026-10-03</t>
        </is>
      </c>
      <c r="F22" s="4" t="inlineStr">
        <is>
          <t>Customer viewing another profile rejected</t>
        </is>
      </c>
      <c r="G22" s="4" t="inlineStr">
        <is>
          <t>UnauthorizedException thrown: 'Access denied'</t>
        </is>
      </c>
      <c r="H22" s="14" t="inlineStr">
        <is>
          <t>Passed</t>
        </is>
      </c>
      <c r="I22" s="4" t="inlineStr">
        <is>
          <t>BUG-006</t>
        </is>
      </c>
      <c r="J22" s="4" t="inlineStr">
        <is>
          <t>User ownership check verified</t>
        </is>
      </c>
      <c r="K22" s="4" t="inlineStr">
        <is>
          <t>User IDOR fix</t>
        </is>
      </c>
    </row>
    <row r="23">
      <c r="A23" s="4" t="inlineStr">
        <is>
          <t>AUT-022</t>
        </is>
      </c>
      <c r="B23" s="4" t="inlineStr">
        <is>
          <t>UserServiceTest</t>
        </is>
      </c>
      <c r="C23" s="4" t="inlineStr">
        <is>
          <t>testGetUserById_SelfAccess_Success</t>
        </is>
      </c>
      <c r="D23" s="4" t="inlineStr">
        <is>
          <t>Unit</t>
        </is>
      </c>
      <c r="E23" s="4" t="inlineStr">
        <is>
          <t>2026-10-03</t>
        </is>
      </c>
      <c r="F23" s="4" t="inlineStr">
        <is>
          <t>Customer viewing own profile succeeds</t>
        </is>
      </c>
      <c r="G23" s="4" t="inlineStr">
        <is>
          <t>UserResponseDTO returned with user ID 1</t>
        </is>
      </c>
      <c r="H23" s="14" t="inlineStr">
        <is>
          <t>Passed</t>
        </is>
      </c>
      <c r="I23" s="4" t="inlineStr">
        <is>
          <t>-</t>
        </is>
      </c>
      <c r="J23" s="4" t="inlineStr">
        <is>
          <t>Self-lookup verified</t>
        </is>
      </c>
      <c r="K23" s="4" t="inlineStr">
        <is>
          <t>User profile flow</t>
        </is>
      </c>
    </row>
    <row r="24">
      <c r="A24" s="4" t="inlineStr">
        <is>
          <t>AUT-023</t>
        </is>
      </c>
      <c r="B24" s="4" t="inlineStr">
        <is>
          <t>UserServiceTest</t>
        </is>
      </c>
      <c r="C24" s="4" t="inlineStr">
        <is>
          <t>testGetUserById_AdminAccess_Success</t>
        </is>
      </c>
      <c r="D24" s="4" t="inlineStr">
        <is>
          <t>Unit</t>
        </is>
      </c>
      <c r="E24" s="4" t="inlineStr">
        <is>
          <t>2026-10-03</t>
        </is>
      </c>
      <c r="F24" s="4" t="inlineStr">
        <is>
          <t>Admin viewing customer profile succeeds</t>
        </is>
      </c>
      <c r="G24" s="4" t="inlineStr">
        <is>
          <t>UserResponseDTO returned with user ID 1</t>
        </is>
      </c>
      <c r="H24" s="14" t="inlineStr">
        <is>
          <t>Passed</t>
        </is>
      </c>
      <c r="I24" s="4" t="inlineStr">
        <is>
          <t>-</t>
        </is>
      </c>
      <c r="J24" s="4" t="inlineStr">
        <is>
          <t>Admin privilege verified</t>
        </is>
      </c>
      <c r="K24" s="4" t="inlineStr">
        <is>
          <t>Admin capability</t>
        </is>
      </c>
    </row>
    <row r="25">
      <c r="A25" s="4" t="inlineStr">
        <is>
          <t>AUT-024</t>
        </is>
      </c>
      <c r="B25" s="4" t="inlineStr">
        <is>
          <t>BookingControllerTest</t>
        </is>
      </c>
      <c r="C25" s="4" t="inlineStr">
        <is>
          <t>testEstimateFareEndpoint</t>
        </is>
      </c>
      <c r="D25" s="4" t="inlineStr">
        <is>
          <t>Integration / WebMvc</t>
        </is>
      </c>
      <c r="E25" s="4" t="inlineStr">
        <is>
          <t>2026-10-03</t>
        </is>
      </c>
      <c r="F25" s="4" t="inlineStr">
        <is>
          <t>POST /api/bookings/estimate-fare returns 200 OK</t>
        </is>
      </c>
      <c r="G25" s="4" t="inlineStr">
        <is>
          <t>Status 200 OK, JSON totalEstimatedFare 2000</t>
        </is>
      </c>
      <c r="H25" s="14" t="inlineStr">
        <is>
          <t>Passed</t>
        </is>
      </c>
      <c r="I25" s="4" t="inlineStr">
        <is>
          <t>-</t>
        </is>
      </c>
      <c r="J25" s="4" t="inlineStr">
        <is>
          <t>MockMvc result verified</t>
        </is>
      </c>
      <c r="K25" s="4" t="inlineStr">
        <is>
          <t>Public endpoint verification</t>
        </is>
      </c>
    </row>
    <row r="26">
      <c r="A26" s="4" t="inlineStr">
        <is>
          <t>AUT-025</t>
        </is>
      </c>
      <c r="B26" s="4" t="inlineStr">
        <is>
          <t>BookingControllerTest</t>
        </is>
      </c>
      <c r="C26" s="4" t="inlineStr">
        <is>
          <t>testGetAllBookingsEndpoint</t>
        </is>
      </c>
      <c r="D26" s="4" t="inlineStr">
        <is>
          <t>Integration / WebMvc</t>
        </is>
      </c>
      <c r="E26" s="4" t="inlineStr">
        <is>
          <t>2026-10-03</t>
        </is>
      </c>
      <c r="F26" s="4" t="inlineStr">
        <is>
          <t>GET /api/bookings returns 200 OK with booking list</t>
        </is>
      </c>
      <c r="G26" s="4" t="inlineStr">
        <is>
          <t>Status 200 OK, JSON array serialized</t>
        </is>
      </c>
      <c r="H26" s="14" t="inlineStr">
        <is>
          <t>Passed</t>
        </is>
      </c>
      <c r="I26" s="4" t="inlineStr">
        <is>
          <t>-</t>
        </is>
      </c>
      <c r="J26" s="4" t="inlineStr">
        <is>
          <t>MockMvc result verified</t>
        </is>
      </c>
      <c r="K26" s="4" t="inlineStr">
        <is>
          <t>Admin endpoint verification</t>
        </is>
      </c>
    </row>
  </sheetData>
  <autoFilter ref="A1:K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  <col width="45" customWidth="1" min="4" max="4"/>
    <col width="12" customWidth="1" min="5" max="5"/>
    <col width="45" customWidth="1" min="6" max="6"/>
    <col width="45" customWidth="1" min="7" max="7"/>
    <col width="45" customWidth="1" min="8" max="8"/>
    <col width="16" customWidth="1" min="9" max="9"/>
    <col width="12" customWidth="1" min="10" max="10"/>
    <col width="34" customWidth="1" min="11" max="11"/>
  </cols>
  <sheetData>
    <row r="1">
      <c r="A1" s="11" t="inlineStr">
        <is>
          <t>Security Finding ID</t>
        </is>
      </c>
      <c r="B1" s="11" t="inlineStr">
        <is>
          <t>Component</t>
        </is>
      </c>
      <c r="C1" s="11" t="inlineStr">
        <is>
          <t>Finding</t>
        </is>
      </c>
      <c r="D1" s="11" t="inlineStr">
        <is>
          <t>Risk</t>
        </is>
      </c>
      <c r="E1" s="11" t="inlineStr">
        <is>
          <t>Severity</t>
        </is>
      </c>
      <c r="F1" s="11" t="inlineStr">
        <is>
          <t>Evidence</t>
        </is>
      </c>
      <c r="G1" s="11" t="inlineStr">
        <is>
          <t>Recommended Fix</t>
        </is>
      </c>
      <c r="H1" s="11" t="inlineStr">
        <is>
          <t>Fix Applied</t>
        </is>
      </c>
      <c r="I1" s="11" t="inlineStr">
        <is>
          <t>Retest Result</t>
        </is>
      </c>
      <c r="J1" s="11" t="inlineStr">
        <is>
          <t>Status</t>
        </is>
      </c>
      <c r="K1" s="11" t="inlineStr">
        <is>
          <t>Remarks</t>
        </is>
      </c>
    </row>
    <row r="2">
      <c r="A2" s="4" t="inlineStr">
        <is>
          <t>SEC-001</t>
        </is>
      </c>
      <c r="B2" s="4" t="inlineStr">
        <is>
          <t>Configuration</t>
        </is>
      </c>
      <c r="C2" s="4" t="inlineStr">
        <is>
          <t>Plaintext MySQL password in application.properties</t>
        </is>
      </c>
      <c r="D2" s="4" t="inlineStr">
        <is>
          <t>Direct database takeover upon code leak</t>
        </is>
      </c>
      <c r="E2" s="12" t="inlineStr">
        <is>
          <t>Critical</t>
        </is>
      </c>
      <c r="F2" s="4" t="inlineStr">
        <is>
          <t>spring.datasource.password=nivak@0328 in Git</t>
        </is>
      </c>
      <c r="G2" s="4" t="inlineStr">
        <is>
          <t>Externalize to DB_PASSWORD env variable</t>
        </is>
      </c>
      <c r="H2" s="4" t="inlineStr">
        <is>
          <t>Removed password; set ${DB_PASSWORD} with no default</t>
        </is>
      </c>
      <c r="I2" s="14" t="inlineStr">
        <is>
          <t>Pass</t>
        </is>
      </c>
      <c r="J2" s="14" t="inlineStr">
        <is>
          <t>Fixed</t>
        </is>
      </c>
      <c r="K2" s="4" t="inlineStr">
        <is>
          <t>Credential eliminated from repo</t>
        </is>
      </c>
    </row>
    <row r="3">
      <c r="A3" s="4" t="inlineStr">
        <is>
          <t>SEC-002</t>
        </is>
      </c>
      <c r="B3" s="4" t="inlineStr">
        <is>
          <t>Authentication</t>
        </is>
      </c>
      <c r="C3" s="4" t="inlineStr">
        <is>
          <t>Hardcoded default administrator credentials</t>
        </is>
      </c>
      <c r="D3" s="4" t="inlineStr">
        <is>
          <t>Instant root administrative takeover via known login</t>
        </is>
      </c>
      <c r="E3" s="12" t="inlineStr">
        <is>
          <t>Critical</t>
        </is>
      </c>
      <c r="F3" s="4" t="inlineStr">
        <is>
          <t>kavinmuthu84@gmail.com / kavinhari@03 hardcoded in Java</t>
        </is>
      </c>
      <c r="G3" s="4" t="inlineStr">
        <is>
          <t>Require explicit env vars or manual DB seeding</t>
        </is>
      </c>
      <c r="H3" s="4" t="inlineStr">
        <is>
          <t>Seeding skipped unless ADMIN_EMAIL and ADMIN_PASSWORD env vars provided</t>
        </is>
      </c>
      <c r="I3" s="14" t="inlineStr">
        <is>
          <t>Pass</t>
        </is>
      </c>
      <c r="J3" s="14" t="inlineStr">
        <is>
          <t>Fixed</t>
        </is>
      </c>
      <c r="K3" s="4" t="inlineStr">
        <is>
          <t>Eliminated hardcoded backdoor</t>
        </is>
      </c>
    </row>
    <row r="4">
      <c r="A4" s="4" t="inlineStr">
        <is>
          <t>SEC-003</t>
        </is>
      </c>
      <c r="B4" s="4" t="inlineStr">
        <is>
          <t>User Management</t>
        </is>
      </c>
      <c r="C4" s="4" t="inlineStr">
        <is>
          <t>IDOR on user profile fetch (/api/users/{id})</t>
        </is>
      </c>
      <c r="D4" s="4" t="inlineStr">
        <is>
          <t>Customer PII exposure (email, phone, name)</t>
        </is>
      </c>
      <c r="E4" s="15" t="inlineStr">
        <is>
          <t>High</t>
        </is>
      </c>
      <c r="F4" s="4" t="inlineStr">
        <is>
          <t>Any user token could retrieve any user profile</t>
        </is>
      </c>
      <c r="G4" s="4" t="inlineStr">
        <is>
          <t>Verify caller identity or ADMIN role</t>
        </is>
      </c>
      <c r="H4" s="4" t="inlineStr">
        <is>
          <t>Enforced ownership check in UserService.getUserById</t>
        </is>
      </c>
      <c r="I4" s="14" t="inlineStr">
        <is>
          <t>Pass</t>
        </is>
      </c>
      <c r="J4" s="14" t="inlineStr">
        <is>
          <t>Fixed</t>
        </is>
      </c>
      <c r="K4" s="4" t="inlineStr">
        <is>
          <t>Covered in UserServiceTest</t>
        </is>
      </c>
    </row>
    <row r="5">
      <c r="A5" s="4" t="inlineStr">
        <is>
          <t>SEC-004</t>
        </is>
      </c>
      <c r="B5" s="4" t="inlineStr">
        <is>
          <t>Bookings</t>
        </is>
      </c>
      <c r="C5" s="4" t="inlineStr">
        <is>
          <t>IDOR &amp; global booking repository exposure</t>
        </is>
      </c>
      <c r="D5" s="4" t="inlineStr">
        <is>
          <t>Full travel itinerary and customer data harvesting</t>
        </is>
      </c>
      <c r="E5" s="15" t="inlineStr">
        <is>
          <t>High</t>
        </is>
      </c>
      <c r="F5" s="4" t="inlineStr">
        <is>
          <t>/api/bookings returned all bookings; /{id} had no owner check</t>
        </is>
      </c>
      <c r="G5" s="4" t="inlineStr">
        <is>
          <t>Restrict to ADMIN and check booking ownership</t>
        </is>
      </c>
      <c r="H5" s="4" t="inlineStr">
        <is>
          <t>getAllBookings made ADMIN-only; added /api/bookings/my; added owner check on /{id}</t>
        </is>
      </c>
      <c r="I5" s="14" t="inlineStr">
        <is>
          <t>Pass</t>
        </is>
      </c>
      <c r="J5" s="14" t="inlineStr">
        <is>
          <t>Fixed</t>
        </is>
      </c>
      <c r="K5" s="4" t="inlineStr">
        <is>
          <t>Covered in BookingServiceTest</t>
        </is>
      </c>
    </row>
    <row r="6">
      <c r="A6" s="4" t="inlineStr">
        <is>
          <t>SEC-005</t>
        </is>
      </c>
      <c r="B6" s="4" t="inlineStr">
        <is>
          <t>User Management</t>
        </is>
      </c>
      <c r="C6" s="4" t="inlineStr">
        <is>
          <t>Unrestricted user directory endpoint (/api/users)</t>
        </is>
      </c>
      <c r="D6" s="4" t="inlineStr">
        <is>
          <t>Complete customer database enumeration</t>
        </is>
      </c>
      <c r="E6" s="15" t="inlineStr">
        <is>
          <t>High</t>
        </is>
      </c>
      <c r="F6" s="4" t="inlineStr">
        <is>
          <t>GET /api/users open to all logged-in customers</t>
        </is>
      </c>
      <c r="G6" s="4" t="inlineStr">
        <is>
          <t>Restrict to ADMIN role</t>
        </is>
      </c>
      <c r="H6" s="4" t="inlineStr">
        <is>
          <t>Added @PreAuthorize('hasRole("ADMIN")')</t>
        </is>
      </c>
      <c r="I6" s="14" t="inlineStr">
        <is>
          <t>Pass</t>
        </is>
      </c>
      <c r="J6" s="14" t="inlineStr">
        <is>
          <t>Fixed</t>
        </is>
      </c>
      <c r="K6" s="4" t="inlineStr">
        <is>
          <t>Directory restricted</t>
        </is>
      </c>
    </row>
    <row r="7">
      <c r="A7" s="4" t="inlineStr">
        <is>
          <t>SEC-006</t>
        </is>
      </c>
      <c r="B7" s="4" t="inlineStr">
        <is>
          <t>Payments</t>
        </is>
      </c>
      <c r="C7" s="4" t="inlineStr">
        <is>
          <t>Insecure payment ledger and IDOR on /api/payments/{id}</t>
        </is>
      </c>
      <c r="D7" s="4" t="inlineStr">
        <is>
          <t>Financial record and amount exposure</t>
        </is>
      </c>
      <c r="E7" s="15" t="inlineStr">
        <is>
          <t>High</t>
        </is>
      </c>
      <c r="F7" s="4" t="inlineStr">
        <is>
          <t>GET /api/payments accessible to any authenticated user</t>
        </is>
      </c>
      <c r="G7" s="4" t="inlineStr">
        <is>
          <t>Restrict to ADMIN role and verify payment ownership</t>
        </is>
      </c>
      <c r="H7" s="4" t="inlineStr">
        <is>
          <t>getAllPayments restricted to ADMIN; getPaymentById checks booking ownership</t>
        </is>
      </c>
      <c r="I7" s="14" t="inlineStr">
        <is>
          <t>Pass</t>
        </is>
      </c>
      <c r="J7" s="14" t="inlineStr">
        <is>
          <t>Fixed</t>
        </is>
      </c>
      <c r="K7" s="4" t="inlineStr">
        <is>
          <t>Covered in PaymentServiceTest</t>
        </is>
      </c>
    </row>
    <row r="8">
      <c r="A8" s="4" t="inlineStr">
        <is>
          <t>SEC-007</t>
        </is>
      </c>
      <c r="B8" s="4" t="inlineStr">
        <is>
          <t>Payments</t>
        </is>
      </c>
      <c r="C8" s="4" t="inlineStr">
        <is>
          <t>Client-side payment status forgery</t>
        </is>
      </c>
      <c r="D8" s="4" t="inlineStr">
        <is>
          <t>Fraudulent bookings confirmed without payment</t>
        </is>
      </c>
      <c r="E8" s="15" t="inlineStr">
        <is>
          <t>High</t>
        </is>
      </c>
      <c r="F8" s="4" t="inlineStr">
        <is>
          <t>POST /api/payments trusted client paymentStatus: SUCCESSFUL</t>
        </is>
      </c>
      <c r="G8" s="4" t="inlineStr">
        <is>
          <t>Enforce server-side state transitions</t>
        </is>
      </c>
      <c r="H8" s="4" t="inlineStr">
        <is>
          <t>Backend forces status to INITIATED on creation unconditionally</t>
        </is>
      </c>
      <c r="I8" s="14" t="inlineStr">
        <is>
          <t>Pass</t>
        </is>
      </c>
      <c r="J8" s="14" t="inlineStr">
        <is>
          <t>Fixed</t>
        </is>
      </c>
      <c r="K8" s="4" t="inlineStr">
        <is>
          <t>Covered in PaymentServiceTest</t>
        </is>
      </c>
    </row>
    <row r="9">
      <c r="A9" s="4" t="inlineStr">
        <is>
          <t>SEC-008</t>
        </is>
      </c>
      <c r="B9" s="4" t="inlineStr">
        <is>
          <t>Payments</t>
        </is>
      </c>
      <c r="C9" s="4" t="inlineStr">
        <is>
          <t>Payment submission for arbitrary bookings</t>
        </is>
      </c>
      <c r="D9" s="4" t="inlineStr">
        <is>
          <t>Payment records created against unauthorized bookings</t>
        </is>
      </c>
      <c r="E9" s="15" t="inlineStr">
        <is>
          <t>High</t>
        </is>
      </c>
      <c r="F9" s="4" t="inlineStr">
        <is>
          <t>processPayment did not check caller owns booking</t>
        </is>
      </c>
      <c r="G9" s="4" t="inlineStr">
        <is>
          <t>Verify booking.getUser().equals(caller)</t>
        </is>
      </c>
      <c r="H9" s="4" t="inlineStr">
        <is>
          <t>Added caller ownership validation in PaymentService</t>
        </is>
      </c>
      <c r="I9" s="14" t="inlineStr">
        <is>
          <t>Pass</t>
        </is>
      </c>
      <c r="J9" s="14" t="inlineStr">
        <is>
          <t>Fixed</t>
        </is>
      </c>
      <c r="K9" s="4" t="inlineStr">
        <is>
          <t>Covered in PaymentServiceTest</t>
        </is>
      </c>
    </row>
    <row r="10">
      <c r="A10" s="4" t="inlineStr">
        <is>
          <t>SEC-009</t>
        </is>
      </c>
      <c r="B10" s="4" t="inlineStr">
        <is>
          <t>Error Handling</t>
        </is>
      </c>
      <c r="C10" s="4" t="inlineStr">
        <is>
          <t>Server stack trace and SQL query leakage on 500 error</t>
        </is>
      </c>
      <c r="D10" s="4" t="inlineStr">
        <is>
          <t>Reconnaissance data for targeted exploits</t>
        </is>
      </c>
      <c r="E10" s="16" t="inlineStr">
        <is>
          <t>Medium</t>
        </is>
      </c>
      <c r="F10" s="4" t="inlineStr">
        <is>
          <t>ex.getMessage() returned in JSON response body</t>
        </is>
      </c>
      <c r="G10" s="4" t="inlineStr">
        <is>
          <t>Sanitize error responses; log details on server</t>
        </is>
      </c>
      <c r="H10" s="4" t="inlineStr">
        <is>
          <t>Generic error returned to client; full trace logged with log.error()</t>
        </is>
      </c>
      <c r="I10" s="14" t="inlineStr">
        <is>
          <t>Pass</t>
        </is>
      </c>
      <c r="J10" s="14" t="inlineStr">
        <is>
          <t>Fixed</t>
        </is>
      </c>
      <c r="K10" s="4" t="inlineStr">
        <is>
          <t>GlobalExceptionHandler updated</t>
        </is>
      </c>
    </row>
    <row r="11">
      <c r="A11" s="4" t="inlineStr">
        <is>
          <t>SEC-010</t>
        </is>
      </c>
      <c r="B11" s="4" t="inlineStr">
        <is>
          <t>Configuration</t>
        </is>
      </c>
      <c r="C11" s="4" t="inlineStr">
        <is>
          <t>SQL query logging enabled in production configuration</t>
        </is>
      </c>
      <c r="D11" s="4" t="inlineStr">
        <is>
          <t>Sensitive parameters and structure logged to disk</t>
        </is>
      </c>
      <c r="E11" s="17" t="inlineStr">
        <is>
          <t>Low</t>
        </is>
      </c>
      <c r="F11" s="4" t="inlineStr">
        <is>
          <t>spring.jpa.show-sql=true in properties</t>
        </is>
      </c>
      <c r="G11" s="4" t="inlineStr">
        <is>
          <t>Disable SQL logging in production</t>
        </is>
      </c>
      <c r="H11" s="4" t="inlineStr">
        <is>
          <t>Changed to spring.jpa.show-sql=false</t>
        </is>
      </c>
      <c r="I11" s="14" t="inlineStr">
        <is>
          <t>Pass</t>
        </is>
      </c>
      <c r="J11" s="14" t="inlineStr">
        <is>
          <t>Fixed</t>
        </is>
      </c>
      <c r="K11" s="4" t="inlineStr">
        <is>
          <t>Reduced log bloat and risk</t>
        </is>
      </c>
    </row>
    <row r="12">
      <c r="A12" s="4" t="inlineStr">
        <is>
          <t>SEC-011</t>
        </is>
      </c>
      <c r="B12" s="4" t="inlineStr">
        <is>
          <t>Configuration</t>
        </is>
      </c>
      <c r="C12" s="4" t="inlineStr">
        <is>
          <t>Hibernate Open-In-View enabled</t>
        </is>
      </c>
      <c r="D12" s="4" t="inlineStr">
        <is>
          <t>Connection starvation and N+1 query vulnerability</t>
        </is>
      </c>
      <c r="E12" s="17" t="inlineStr">
        <is>
          <t>Low</t>
        </is>
      </c>
      <c r="F12" s="4" t="inlineStr">
        <is>
          <t>spring.jpa.open-in-view=true in properties</t>
        </is>
      </c>
      <c r="G12" s="4" t="inlineStr">
        <is>
          <t>Disable OSIV for strict transactional boundary</t>
        </is>
      </c>
      <c r="H12" s="4" t="inlineStr">
        <is>
          <t>Changed to spring.jpa.open-in-view=false</t>
        </is>
      </c>
      <c r="I12" s="14" t="inlineStr">
        <is>
          <t>Pass</t>
        </is>
      </c>
      <c r="J12" s="14" t="inlineStr">
        <is>
          <t>Fixed</t>
        </is>
      </c>
      <c r="K12" s="4" t="inlineStr">
        <is>
          <t>Best practice architecture</t>
        </is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2026-10-03T17:07:40Z</dcterms:created>
  <dcterms:modified xmlns:dcterms="http://purl.org/dc/terms/" xmlns:xsi="http://www.w3.org/2001/XMLSchema-instance" xsi:type="dcterms:W3CDTF">2026-10-03T17:07:40Z</dcterms:modified>
</cp:coreProperties>
</file>